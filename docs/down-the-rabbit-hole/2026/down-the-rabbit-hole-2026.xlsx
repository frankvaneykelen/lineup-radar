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git\github\lineup-radar\docs\down-the-rabbit-hole\2026\"/>
    </mc:Choice>
  </mc:AlternateContent>
  <xr:revisionPtr revIDLastSave="0" documentId="13_ncr:1_{5F71D91A-AF64-471A-9CBE-7F0F06FAEE4C}" xr6:coauthVersionLast="47" xr6:coauthVersionMax="47" xr10:uidLastSave="{00000000-0000-0000-0000-000000000000}"/>
  <bookViews>
    <workbookView xWindow="-120" yWindow="-120" windowWidth="29040" windowHeight="17520" xr2:uid="{EFF6B510-F57F-4011-AA22-F66678D973A8}"/>
  </bookViews>
  <sheets>
    <sheet name="Lineup Import" sheetId="2" r:id="rId1"/>
    <sheet name="Ratings" sheetId="3" r:id="rId2"/>
  </sheets>
  <definedNames>
    <definedName name="ExternalData_1" localSheetId="0" hidden="1">'Lineup Import'!$A$1:$AA$200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2" l="1"/>
  <c r="C100" i="2"/>
  <c r="C176" i="2"/>
  <c r="C34" i="2"/>
  <c r="C51" i="2"/>
  <c r="C102" i="2"/>
  <c r="C173" i="2"/>
  <c r="C6" i="2"/>
  <c r="C8" i="2"/>
  <c r="C15" i="2"/>
  <c r="C29" i="2"/>
  <c r="C31" i="2"/>
  <c r="C70" i="2"/>
  <c r="C77" i="2"/>
  <c r="C82" i="2"/>
  <c r="C83" i="2"/>
  <c r="C84" i="2"/>
  <c r="C114" i="2"/>
  <c r="C132" i="2"/>
  <c r="C136" i="2"/>
  <c r="C160" i="2"/>
  <c r="C164" i="2"/>
  <c r="C36" i="2"/>
  <c r="C177" i="2"/>
  <c r="C170" i="2"/>
  <c r="C169" i="2"/>
  <c r="C181" i="2"/>
  <c r="C2" i="2"/>
  <c r="C200" i="2"/>
  <c r="C9" i="2"/>
  <c r="C12" i="2"/>
  <c r="C14" i="2"/>
  <c r="C23" i="2"/>
  <c r="C26" i="2"/>
  <c r="C38" i="2"/>
  <c r="C40" i="2"/>
  <c r="C58" i="2"/>
  <c r="C59" i="2"/>
  <c r="C63" i="2"/>
  <c r="C78" i="2"/>
  <c r="C89" i="2"/>
  <c r="C92" i="2"/>
  <c r="C103" i="2"/>
  <c r="C108" i="2"/>
  <c r="C109" i="2"/>
  <c r="C174" i="2"/>
  <c r="C117" i="2"/>
  <c r="C118" i="2"/>
  <c r="C120" i="2"/>
  <c r="C122" i="2"/>
  <c r="C35" i="2"/>
  <c r="C126" i="2"/>
  <c r="C138" i="2"/>
  <c r="C139" i="2"/>
  <c r="C141" i="2"/>
  <c r="C185" i="2"/>
  <c r="C193" i="2"/>
  <c r="C7" i="2"/>
  <c r="C11" i="2"/>
  <c r="C16" i="2"/>
  <c r="C20" i="2"/>
  <c r="C25" i="2"/>
  <c r="C30" i="2"/>
  <c r="C48" i="2"/>
  <c r="C49" i="2"/>
  <c r="C52" i="2"/>
  <c r="C55" i="2"/>
  <c r="C66" i="2"/>
  <c r="C72" i="2"/>
  <c r="C80" i="2"/>
  <c r="C87" i="2"/>
  <c r="C104" i="2"/>
  <c r="C105" i="2"/>
  <c r="C113" i="2"/>
  <c r="C129" i="2"/>
  <c r="C137" i="2"/>
  <c r="C140" i="2"/>
  <c r="C153" i="2"/>
  <c r="C180" i="2"/>
  <c r="C186" i="2"/>
  <c r="C189" i="2"/>
  <c r="C190" i="2"/>
  <c r="C191" i="2"/>
  <c r="C199" i="2"/>
  <c r="C119" i="2"/>
  <c r="C4" i="2"/>
  <c r="C10" i="2"/>
  <c r="C13" i="2"/>
  <c r="C19" i="2"/>
  <c r="C21" i="2"/>
  <c r="C42" i="2"/>
  <c r="C45" i="2"/>
  <c r="C46" i="2"/>
  <c r="C53" i="2"/>
  <c r="C61" i="2"/>
  <c r="C69" i="2"/>
  <c r="C73" i="2"/>
  <c r="C88" i="2"/>
  <c r="C91" i="2"/>
  <c r="C97" i="2"/>
  <c r="C112" i="2"/>
  <c r="C127" i="2"/>
  <c r="C133" i="2"/>
  <c r="C151" i="2"/>
  <c r="C154" i="2"/>
  <c r="C158" i="2"/>
  <c r="C159" i="2"/>
  <c r="C161" i="2"/>
  <c r="C178" i="2"/>
  <c r="C183" i="2"/>
  <c r="C196" i="2"/>
  <c r="C197" i="2"/>
  <c r="C198" i="2"/>
  <c r="C157" i="2"/>
  <c r="C17" i="2"/>
  <c r="C22" i="2"/>
  <c r="C54" i="2"/>
  <c r="C67" i="2"/>
  <c r="C68" i="2"/>
  <c r="C71" i="2"/>
  <c r="C79" i="2"/>
  <c r="C96" i="2"/>
  <c r="C98" i="2"/>
  <c r="C110" i="2"/>
  <c r="C111" i="2"/>
  <c r="C116" i="2"/>
  <c r="C128" i="2"/>
  <c r="C131" i="2"/>
  <c r="C135" i="2"/>
  <c r="C142" i="2"/>
  <c r="C147" i="2"/>
  <c r="C149" i="2"/>
  <c r="C155" i="2"/>
  <c r="C182" i="2"/>
  <c r="C192" i="2"/>
  <c r="C18" i="2"/>
  <c r="C27" i="2"/>
  <c r="C37" i="2"/>
  <c r="C56" i="2"/>
  <c r="C74" i="2"/>
  <c r="C75" i="2"/>
  <c r="C76" i="2"/>
  <c r="C85" i="2"/>
  <c r="C86" i="2"/>
  <c r="C107" i="2"/>
  <c r="C167" i="2"/>
  <c r="C188" i="2"/>
  <c r="C171" i="2"/>
  <c r="C123" i="2"/>
  <c r="C65" i="2"/>
  <c r="C90" i="2"/>
  <c r="C94" i="2"/>
  <c r="C162" i="2"/>
  <c r="C99" i="2"/>
  <c r="C39" i="2"/>
  <c r="C60" i="2"/>
  <c r="C64" i="2"/>
  <c r="C95" i="2"/>
  <c r="C106" i="2"/>
  <c r="C125" i="2"/>
  <c r="C148" i="2"/>
  <c r="C152" i="2"/>
  <c r="C163" i="2"/>
  <c r="C166" i="2"/>
  <c r="C3" i="2"/>
  <c r="C47" i="2"/>
  <c r="C101" i="2"/>
  <c r="C121" i="2"/>
  <c r="C134" i="2"/>
  <c r="C172" i="2"/>
  <c r="C5" i="2"/>
  <c r="C44" i="2"/>
  <c r="C50" i="2"/>
  <c r="C81" i="2"/>
  <c r="C115" i="2"/>
  <c r="C130" i="2"/>
  <c r="C143" i="2"/>
  <c r="C156" i="2"/>
  <c r="C179" i="2"/>
  <c r="C184" i="2"/>
  <c r="C195" i="2"/>
  <c r="C175" i="2"/>
  <c r="C28" i="2"/>
  <c r="C32" i="2"/>
  <c r="C41" i="2"/>
  <c r="C93" i="2"/>
  <c r="C146" i="2"/>
  <c r="C145" i="2"/>
  <c r="C144" i="2"/>
  <c r="C33" i="2"/>
  <c r="C165" i="2"/>
  <c r="C194" i="2"/>
  <c r="C187" i="2"/>
  <c r="C168" i="2"/>
  <c r="C62" i="2"/>
  <c r="C124" i="2"/>
  <c r="C43" i="2"/>
  <c r="C24" i="2"/>
  <c r="C150" i="2"/>
  <c r="D57" i="2"/>
  <c r="D100" i="2"/>
  <c r="D176" i="2"/>
  <c r="D34" i="2"/>
  <c r="D51" i="2"/>
  <c r="D102" i="2"/>
  <c r="D173" i="2"/>
  <c r="D6" i="2"/>
  <c r="D8" i="2"/>
  <c r="D15" i="2"/>
  <c r="D29" i="2"/>
  <c r="D31" i="2"/>
  <c r="D70" i="2"/>
  <c r="D77" i="2"/>
  <c r="D82" i="2"/>
  <c r="D83" i="2"/>
  <c r="D84" i="2"/>
  <c r="D114" i="2"/>
  <c r="D132" i="2"/>
  <c r="D136" i="2"/>
  <c r="D160" i="2"/>
  <c r="D164" i="2"/>
  <c r="D36" i="2"/>
  <c r="D177" i="2"/>
  <c r="D170" i="2"/>
  <c r="D169" i="2"/>
  <c r="D181" i="2"/>
  <c r="D2" i="2"/>
  <c r="D200" i="2"/>
  <c r="D9" i="2"/>
  <c r="D12" i="2"/>
  <c r="D14" i="2"/>
  <c r="D23" i="2"/>
  <c r="D26" i="2"/>
  <c r="D38" i="2"/>
  <c r="D40" i="2"/>
  <c r="D58" i="2"/>
  <c r="D59" i="2"/>
  <c r="D63" i="2"/>
  <c r="D78" i="2"/>
  <c r="D89" i="2"/>
  <c r="D92" i="2"/>
  <c r="D103" i="2"/>
  <c r="D108" i="2"/>
  <c r="D109" i="2"/>
  <c r="D174" i="2"/>
  <c r="D117" i="2"/>
  <c r="D118" i="2"/>
  <c r="D120" i="2"/>
  <c r="D122" i="2"/>
  <c r="D35" i="2"/>
  <c r="D126" i="2"/>
  <c r="D138" i="2"/>
  <c r="D139" i="2"/>
  <c r="D141" i="2"/>
  <c r="D185" i="2"/>
  <c r="D193" i="2"/>
  <c r="D7" i="2"/>
  <c r="D11" i="2"/>
  <c r="D16" i="2"/>
  <c r="D20" i="2"/>
  <c r="D25" i="2"/>
  <c r="D30" i="2"/>
  <c r="D48" i="2"/>
  <c r="D49" i="2"/>
  <c r="D52" i="2"/>
  <c r="D55" i="2"/>
  <c r="D66" i="2"/>
  <c r="D72" i="2"/>
  <c r="D80" i="2"/>
  <c r="D87" i="2"/>
  <c r="D104" i="2"/>
  <c r="D105" i="2"/>
  <c r="D113" i="2"/>
  <c r="D129" i="2"/>
  <c r="D137" i="2"/>
  <c r="D140" i="2"/>
  <c r="D153" i="2"/>
  <c r="D180" i="2"/>
  <c r="D186" i="2"/>
  <c r="D189" i="2"/>
  <c r="D190" i="2"/>
  <c r="D191" i="2"/>
  <c r="D199" i="2"/>
  <c r="D119" i="2"/>
  <c r="D4" i="2"/>
  <c r="D10" i="2"/>
  <c r="D13" i="2"/>
  <c r="D19" i="2"/>
  <c r="D21" i="2"/>
  <c r="D42" i="2"/>
  <c r="D45" i="2"/>
  <c r="D46" i="2"/>
  <c r="D53" i="2"/>
  <c r="D61" i="2"/>
  <c r="D69" i="2"/>
  <c r="D73" i="2"/>
  <c r="D88" i="2"/>
  <c r="D91" i="2"/>
  <c r="D97" i="2"/>
  <c r="D112" i="2"/>
  <c r="D127" i="2"/>
  <c r="D133" i="2"/>
  <c r="D151" i="2"/>
  <c r="D154" i="2"/>
  <c r="D158" i="2"/>
  <c r="D159" i="2"/>
  <c r="D161" i="2"/>
  <c r="D178" i="2"/>
  <c r="D183" i="2"/>
  <c r="D196" i="2"/>
  <c r="D197" i="2"/>
  <c r="D198" i="2"/>
  <c r="D157" i="2"/>
  <c r="D17" i="2"/>
  <c r="D22" i="2"/>
  <c r="D54" i="2"/>
  <c r="D67" i="2"/>
  <c r="D68" i="2"/>
  <c r="D71" i="2"/>
  <c r="D79" i="2"/>
  <c r="D96" i="2"/>
  <c r="D98" i="2"/>
  <c r="D110" i="2"/>
  <c r="D111" i="2"/>
  <c r="D116" i="2"/>
  <c r="D128" i="2"/>
  <c r="D131" i="2"/>
  <c r="D135" i="2"/>
  <c r="D142" i="2"/>
  <c r="D147" i="2"/>
  <c r="D149" i="2"/>
  <c r="D155" i="2"/>
  <c r="D182" i="2"/>
  <c r="D192" i="2"/>
  <c r="D18" i="2"/>
  <c r="D27" i="2"/>
  <c r="D37" i="2"/>
  <c r="D56" i="2"/>
  <c r="D74" i="2"/>
  <c r="D75" i="2"/>
  <c r="D76" i="2"/>
  <c r="D85" i="2"/>
  <c r="D86" i="2"/>
  <c r="D107" i="2"/>
  <c r="D167" i="2"/>
  <c r="D188" i="2"/>
  <c r="D171" i="2"/>
  <c r="D123" i="2"/>
  <c r="D65" i="2"/>
  <c r="D90" i="2"/>
  <c r="D94" i="2"/>
  <c r="D162" i="2"/>
  <c r="D99" i="2"/>
  <c r="D39" i="2"/>
  <c r="D60" i="2"/>
  <c r="D64" i="2"/>
  <c r="D95" i="2"/>
  <c r="D106" i="2"/>
  <c r="D125" i="2"/>
  <c r="D148" i="2"/>
  <c r="D152" i="2"/>
  <c r="D163" i="2"/>
  <c r="D166" i="2"/>
  <c r="D3" i="2"/>
  <c r="D47" i="2"/>
  <c r="D101" i="2"/>
  <c r="D121" i="2"/>
  <c r="D134" i="2"/>
  <c r="D172" i="2"/>
  <c r="D5" i="2"/>
  <c r="D44" i="2"/>
  <c r="D50" i="2"/>
  <c r="D81" i="2"/>
  <c r="D115" i="2"/>
  <c r="D130" i="2"/>
  <c r="D143" i="2"/>
  <c r="D156" i="2"/>
  <c r="D179" i="2"/>
  <c r="D184" i="2"/>
  <c r="D195" i="2"/>
  <c r="D175" i="2"/>
  <c r="D28" i="2"/>
  <c r="D32" i="2"/>
  <c r="D41" i="2"/>
  <c r="D93" i="2"/>
  <c r="D146" i="2"/>
  <c r="D145" i="2"/>
  <c r="D144" i="2"/>
  <c r="D33" i="2"/>
  <c r="D165" i="2"/>
  <c r="D194" i="2"/>
  <c r="D187" i="2"/>
  <c r="D168" i="2"/>
  <c r="D62" i="2"/>
  <c r="D124" i="2"/>
  <c r="D43" i="2"/>
  <c r="D24" i="2"/>
  <c r="D15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986D42-5089-4723-B554-DE7C1A6C6952}" keepAlive="1" name="Query - 2026" description="Connection to the '2026' query in the workbook." type="5" refreshedVersion="8" background="1" saveData="1">
    <dbPr connection="Provider=Microsoft.Mashup.OleDb.1;Data Source=$Workbook$;Location=2026;Extended Properties=&quot;&quot;" command="SELECT * FROM [2026]"/>
  </connection>
</connections>
</file>

<file path=xl/sharedStrings.xml><?xml version="1.0" encoding="utf-8"?>
<sst xmlns="http://schemas.openxmlformats.org/spreadsheetml/2006/main" count="4043" uniqueCount="1892">
  <si>
    <t>Artist</t>
  </si>
  <si>
    <t>Tagline</t>
  </si>
  <si>
    <t>Date</t>
  </si>
  <si>
    <t>Start Time</t>
  </si>
  <si>
    <t>End Time</t>
  </si>
  <si>
    <t>Stage</t>
  </si>
  <si>
    <t>Genre</t>
  </si>
  <si>
    <t>Country</t>
  </si>
  <si>
    <t>Bio</t>
  </si>
  <si>
    <t>Website</t>
  </si>
  <si>
    <t>Spotify Link</t>
  </si>
  <si>
    <t>YouTube</t>
  </si>
  <si>
    <t>Instagram</t>
  </si>
  <si>
    <t>AI Summary</t>
  </si>
  <si>
    <t>AI Rating</t>
  </si>
  <si>
    <t>Number of People in Act</t>
  </si>
  <si>
    <t>Gender of Front Person</t>
  </si>
  <si>
    <t>Front Person of Color?</t>
  </si>
  <si>
    <t>Cancelled</t>
  </si>
  <si>
    <t>Festival URL</t>
  </si>
  <si>
    <t>Festival Bio (NL)</t>
  </si>
  <si>
    <t>Festival Bio (EN)</t>
  </si>
  <si>
    <t>Social Links</t>
  </si>
  <si>
    <t>Images Scraped</t>
  </si>
  <si>
    <t>End Date</t>
  </si>
  <si>
    <t>Florence + The Machine</t>
  </si>
  <si>
    <t>Majestic anthems, wild-hearted devotion.</t>
  </si>
  <si>
    <t>Hotot</t>
  </si>
  <si>
    <t>Indie Rock/Baroque Pop</t>
  </si>
  <si>
    <t>United Kingdom</t>
  </si>
  <si>
    <t>Florence + The Machine is a British band led by Florence Welch, known for their powerful vocals, poetic lyrics, and a blend of indie rock and baroque pop. They have achieved critical and commercial success with albums like 'Lungs' and 'Ceremonials,' earning multiple awards and nominations.</t>
  </si>
  <si>
    <t>https://florenceandthemachine.net/</t>
  </si>
  <si>
    <t>https://open.spotify.com/artist/1moxjboGR7GNWYIMWsRjgG</t>
  </si>
  <si>
    <t>Florence Welch's commanding stage presence and the band's dynamic live performances have been widely praised, making them a standout act in the indie music scene.</t>
  </si>
  <si>
    <t>Female</t>
  </si>
  <si>
    <t>No</t>
  </si>
  <si>
    <t>https://downtherabbithole.nl/programma/florence-the-machine</t>
  </si>
  <si>
    <t>{"Instagram": "https://www.instagram.com/florenceandthemachine/", "Facebook": "https://www.facebook.com/florenceandthemachine", "Twitter": "https://x.com/florencemachine", "YouTube": "https://www.youtube.com/user/florencemachine", "Spotify": "https://open.spotify.com/artist/1moxjboGR7GNWYIMWsRjgG?si=fKw2DQ4JTuGndE4f8PQkFA", "Website": "https://florenceandthemachine.net/"}</t>
  </si>
  <si>
    <t>Yes</t>
  </si>
  <si>
    <t>Little Simz</t>
  </si>
  <si>
    <t>Hip-Hop/Rap</t>
  </si>
  <si>
    <t>Little Simz is a British rapper, singer, and actress known for her introspective lyrics, innovative production, and critically acclaimed albums such as 'Sometimes I Might Be Introvert' and 'Grey Area'. She has won multiple awards, including the Mercury Prize and a BRIT Award, solidifying her position as one of the most influential voices in contemporary hip-hop.</t>
  </si>
  <si>
    <t>https://littlesimz.com/</t>
  </si>
  <si>
    <t>https://open.spotify.com/artist/6eXZu6O7nAUA5z6vLV8NKI</t>
  </si>
  <si>
    <t>Little Simz is widely praised for her lyrical depth, genre-defying sound, and captivating live performances, making her a standout artist in modern music.</t>
  </si>
  <si>
    <t>https://downtherabbithole.nl/programma/little-simz</t>
  </si>
  <si>
    <t>Little girls grow up. Little Simz, the London artist, rapper, and actress born Simbi Ajikawo, has undoubtedly evolved into Big Simz fifteen years after her first mixtapes. A journey that received a significant boost with her breakthrough album *Sometimes I Might Be Introvert* (2021), filled with now-classic tracks like "Woman" and "Point and Kill," also elevated by the soaring vocals of soul companion Obongjayar. Two albums later, Simz has firmly established herself as a shining star in her own unique musical universe, serving as an inspiring role model for little girls everywhere.
Photo by Thibaut Grevet</t>
  </si>
  <si>
    <t>{"Instagram": "https://www.instagram.com/littlesimz/", "Facebook": "https://www.facebook.com/LittleSimz/", "Twitter": "https://x.com/littlesimz", "YouTube": "https://www.youtube.com/channel/UC89IYKXyf15qNezA7IuFG1A", "Spotify": "https://open.spotify.com/artist/6eXZu6O7nAUA5z6vLV8NKI?si=yoXgrNB5Q1OoBGm3T3tRRQ", "Website": "https://littlesimz.com/"}</t>
  </si>
  <si>
    <t>The xx</t>
  </si>
  <si>
    <t>Whispered minimalism, infinite emotion.</t>
  </si>
  <si>
    <t>Indie pop/Indie rock</t>
  </si>
  <si>
    <t>The xx is a critically acclaimed British band known for their minimalist sound blending indie pop, electronic, and R&amp;B influences. Their debut album, 'xx,' won the Mercury Prize in 2010 and they have since become renowned for their atmospheric music and intimate performances.</t>
  </si>
  <si>
    <t>https://thexx.info/</t>
  </si>
  <si>
    <t>https://open.spotify.com/artist/3iOvXCl6edW5Um0fXEBRXy</t>
  </si>
  <si>
    <t>The xx are celebrated for their innovative use of space and silence in music, creating emotionally resonant and immersive live performances.</t>
  </si>
  <si>
    <t>Mixed</t>
  </si>
  <si>
    <t>https://downtherabbithole.nl/programma/the-xx</t>
  </si>
  <si>
    <t>Sometimes a band transcends all well-intentioned genre names and terms. And worlds: the cinematic sounds of 'Intro' lend themselves to both skating competitions and multiple Top Gear adventures. That widely embraced sound speaks volumes about the finesse of this dream pop trio, who, after 'I See You' (2017), delved into solo albums and turntable experiments. That creative spreading of wings broadens the mind, but sometimes nothing beats the divine sum of the parts with, who knows, new work. Two modest kisses? No, this reunion will be an embrace of grand proportions: welcome back, The xx!</t>
  </si>
  <si>
    <t>{"Instagram": "https://www.instagram.com/Thexx", "Facebook": "https://www.facebook.com/thexx", "Twitter": "https://x.com/the_xx", "YouTube": "https://www.youtube.com/channel/UCD53U3HUF8CJW2cRdLzQexQ", "Spotify": "https://open.spotify.com/artist/3iOvXCl6edW5Um0fXEBRXy?si=FKM2eVMGRCuNhNiLDTbbiQ", "Website": "https://thexx.info/"}</t>
  </si>
  <si>
    <t>David Byrne</t>
  </si>
  <si>
    <t>Architect of art-rock revolution.</t>
  </si>
  <si>
    <t>New Wave/Art Rock</t>
  </si>
  <si>
    <t>United States</t>
  </si>
  <si>
    <t>David Byrne is a Scottish-American musician, best known as the frontman of the influential band Talking Heads, which pioneered the New Wave genre by blending rock, punk, and world music influences. He has also had a successful solo career, exploring diverse musical styles and earning critical acclaim.</t>
  </si>
  <si>
    <t>https://whoisthesky.davidbyrne.com/</t>
  </si>
  <si>
    <t>https://open.spotify.com/artist/20vuBdFblWUo2FCOvUzusB</t>
  </si>
  <si>
    <t>David Byrne is widely regarded as a groundbreaking artist whose innovative approach to music and performance has left an indelible mark on modern music. His live shows, including the acclaimed 'American Utopia' tour, are celebrated for their creativity and theatricality.</t>
  </si>
  <si>
    <t>Male</t>
  </si>
  <si>
    <t>https://downtherabbithole.nl/programma/david-byrne</t>
  </si>
  <si>
    <t>As the frontman of Talking Heads, David Byrne made pop delightfully weird. And in his solo career, the legendary musician continually reinvents himself. 'American Utopia' (2018) was his middle finger to Trump's America, featuring politically charged songs that emphasize the importance of positivity. His latest album, 'Who Is The Sky?', delivers an extra dose of sunshine with cheerful tracks about finding joy in the smallest things. Ironically, Byrne usually presents this live in a grand fashion. This promises to be a unique celebration.
Photo by Shervin Lainez</t>
  </si>
  <si>
    <t>{"Instagram": "https://www.instagram.com/davidbyrneofficial/", "Facebook": "https://www.facebook.com/DBtodomundo/", "YouTube": "https://www.youtube.com/channel/UCjJP25-7Fhn7wKe5-oi1xOw", "Spotify": "https://open.spotify.com/artist/20vuBdFblWUo2FCOvUzusB?si=Ba7HkvSITkirH5tZNmHBcw", "Website": "https://whoisthesky.davidbyrne.com/"}</t>
  </si>
  <si>
    <t>Empire Of The Sun</t>
  </si>
  <si>
    <t>Celestial synth-pop, where dreams soar.</t>
  </si>
  <si>
    <t>Electronic/Synth-pop</t>
  </si>
  <si>
    <t>Australia</t>
  </si>
  <si>
    <t>Empire of the Sun is an Australian electronic music duo known for their vibrant, theatrical performances and synth-driven pop hits like 'Walking on a Dream' and 'We Are the People.' Their music blends lush electronic production with catchy melodies, earning them critical acclaim and a global fanbase.</t>
  </si>
  <si>
    <t>https://empireofthesun.co/</t>
  </si>
  <si>
    <t>https://open.spotify.com/artist/67hb7towEyKvt5Z8Bx306c</t>
  </si>
  <si>
    <t>Empire of the Sun is celebrated for their unique visual aesthetic and ability to craft euphoric, cinematic soundscapes, making them a standout act in the electronic and synth-pop genres. Their live performances are often described as visually stunning and immersive.</t>
  </si>
  <si>
    <t>https://downtherabbithole.nl/programma/empire-of-the-sun</t>
  </si>
  <si>
    <t>{"Instagram": "https://www.instagram.com/empireofthesunsound", "Facebook": "https://www.facebook.com/empireofthesun?mibextid=uzlsIk", "Twitter": "https://x.com/empireofthesun?s=21&amp;amp;t=QfkoZv7VttIZngjRBBWSJQ", "YouTube": "https://www.youtube.com/channel/UCyacMWc-JhzX6iq2PCF-4jw", "Spotify": "https://open.spotify.com/artist/67hb7towEyKvt5Z8Bx306c?si=JtYDfb2XSmG1Z4t7MpAbUg", "Website": "https://empireofthesun.co/"}</t>
  </si>
  <si>
    <t>Loyle Carner</t>
  </si>
  <si>
    <t>Heartfelt flows, where jazz meets soul.</t>
  </si>
  <si>
    <t>Hip-Hop/Jazz Rap</t>
  </si>
  <si>
    <t>Loyle Carner is a British rapper known for his introspective lyrics, blending hip-hop with jazz and soul influences. He has received critical acclaim for albums like 'Yesterday's Gone' and 'Not Waving, But Drowning', earning multiple award nominations.</t>
  </si>
  <si>
    <t>https://loylecarner.com/shows/tour-production-hold-release/</t>
  </si>
  <si>
    <t>https://open.spotify.com/artist/4oDjh8wNW5vDHyFRrDYC4k</t>
  </si>
  <si>
    <t>Loyle Carner is celebrated for his heartfelt storytelling and smooth delivery, with live performances often praised for their intimacy and emotional resonance.</t>
  </si>
  <si>
    <t>https://downtherabbithole.nl/programma/loyle-carner</t>
  </si>
  <si>
    <t>{"Instagram": "https://www.instagram.com/loylecarner/", "Facebook": "https://www.facebook.com/LoyleCarner", "Twitter": "https://x.com/loylecarner", "YouTube": "https://www.youtube.com/channel/UCSK1XOrBlCh1D8BPpUg-VvQ", "Spotify": "https://open.spotify.com/artist/4oDjh8wNW5vDHyFRrDYC4k?si=F7-GaiZDSfyJ06URWllNxA", "Website": "https://loylecarner.com/shows/tour-production-hold-release/"}</t>
  </si>
  <si>
    <t>The Last Dinner Party</t>
  </si>
  <si>
    <t>A bold and theatrical UK band blending art rock with baroque pop influences.</t>
  </si>
  <si>
    <t>Art Rock/Baroque Pop</t>
  </si>
  <si>
    <t>The Last Dinner Party is a British band known for their dramatic and theatrical approach to music, combining art rock and baroque pop with powerful vocals and intricate instrumentation. They have quickly gained attention for their dynamic live performances and unique sound.</t>
  </si>
  <si>
    <t>https://open.spotify.com/artist/5SHgclK1ZpTdfdAmXW7J6s</t>
  </si>
  <si>
    <t>The Last Dinner Party stands out with their fusion of art rock and baroque pop, characterized by lush arrangements, theatrical flair, and commanding vocal performances. Their live shows have been praised for their energy and creativity, marking them as a distinctive presence in the UK music scene.</t>
  </si>
  <si>
    <t>https://downtherabbithole.nl/programma/the-last-dinner-party</t>
  </si>
  <si>
    <t>{"Instagram": "https://www.instagram.com/thelastdinnerparty/", "Facebook": "https://www.facebook.com/TheLastDinnerParty/", "YouTube": "https://www.youtube.com/channel/UCA9mEw9kzSdKh01c6SuxhDQ", "Spotify": "https://open.spotify.com/artist/5SHgclK1ZpTdfdAmXW7J6s?si=XPe131GSSUinFeXFJQLepg", "Website": "https://www.thelastdinnerparty.co.uk/"}</t>
  </si>
  <si>
    <t>All Them Witches</t>
  </si>
  <si>
    <t>Cosmic thunder, rooted in blues.</t>
  </si>
  <si>
    <t>Teddy Widder</t>
  </si>
  <si>
    <t>Psychedelic Rock/Blues Rock/Stoner Rock</t>
  </si>
  <si>
    <t>All Them Witches is a Nashville-based band known for their fusion of psychedelic rock, blues, and stoner rock, creating a sound that is both heavy and atmospheric. They have gained a dedicated following through their dynamic live performances and critically acclaimed albums like 'Dying Surfer Meets His Maker' and 'Sleeping Through the War.'</t>
  </si>
  <si>
    <t>https://www.allthemwitches.org/</t>
  </si>
  <si>
    <t>https://open.spotify.com/artist/29Wmfm1CojrjQ3aQP0FI65</t>
  </si>
  <si>
    <t>All Them Witches are celebrated for their ability to blend genres seamlessly and deliver powerful, immersive live shows, making them a standout act in the modern rock scene.</t>
  </si>
  <si>
    <t>https://downtherabbithole.nl/programma/all-them-witches</t>
  </si>
  <si>
    <t>Do you love blues and psychedelics? Do you melt for progressive rock and get weak in the knees for stoner? Then you're in the right place with All Them Witches, the hard-rocking trio (formerly a quartet) from Nashville, who have made genre-hopping their artistic mission. All of the aforementioned cornerstones are passionately embraced, and that's just the beginning. Yet the band manages, through numerous albums and performances, to maintain a distinctive identity that will enchant many a rabbit.
Photo by Dylan Hanley</t>
  </si>
  <si>
    <t>{"Instagram": "https://www.instagram.com/allthemwitchesband", "Facebook": "https://www.facebook.com/allthemwitches", "Twitter": "https://x.com/allthemwitches", "YouTube": "http://youtube.com/allthemwitches", "Spotify": "https://open.spotify.com/artist/29Wmfm1CojrjQ3aQP0FI65?si=gupcOjCpSXClNdlRXt59Wg", "Website": "https://www.allthemwitches.org/"}</t>
  </si>
  <si>
    <t>Apparat</t>
  </si>
  <si>
    <t>Emotion in every electronic pulse.</t>
  </si>
  <si>
    <t>Fuzzy Lop</t>
  </si>
  <si>
    <t>Electronic/Ambient</t>
  </si>
  <si>
    <t>Germany</t>
  </si>
  <si>
    <t>Apparat, the stage name of Sascha Ring, is a German electronic musician and producer known for blending ambient, experimental, and techno elements in his music. He has gained critical acclaim for his solo work as well as collaborations with Modeselektor in the project Moderat.</t>
  </si>
  <si>
    <t>https://www.apparat.net/tour/</t>
  </si>
  <si>
    <t>https://open.spotify.com/artist/40Ojab0UtVQFjA76qXr8Ot</t>
  </si>
  <si>
    <t>Apparat is celebrated for his emotive soundscapes and innovative production, with live performances that often combine immersive visuals and atmospheric music.</t>
  </si>
  <si>
    <t>https://downtherabbithole.nl/programma/apparat</t>
  </si>
  <si>
    <t>Sascha Ring emerged about 25 years ago in Berlin's dance scene, at a time when the German capital was entirely dominated by minimal techno. As Apparat, he infused that understated genre with more complex rhythms and deeper emotions. Since then, he has been synonymous with melodic and captivating electronic music, effortlessly navigating between ambient, pop, and techno. Together with the members of Modeselektor, he formed the supergroup Moderat, delivering dance music on a blockbuster scale. And as a solo project, Apparat remains a synonym for immersive and forward-thinking dance music that moves and overwhelms.</t>
  </si>
  <si>
    <t>{"Instagram": "https://www.instagram.com/apparat3000/?hl=en", "Facebook": "https://www.facebook.com/apparat.official/", "YouTube": "https://www.youtube.com/channel/UCYTeaSzqH4QNnX_PR8JK0Rw", "Spotify": "https://open.spotify.com/artist/40Ojab0UtVQFjA76qXr8Ot?si=aILBsyV6QcSp0Nhe_IXI_g", "Website": "https://www.apparat.net/tour/"}</t>
  </si>
  <si>
    <t>Beirut</t>
  </si>
  <si>
    <t>Global folk tales, orchestrated soulfully.</t>
  </si>
  <si>
    <t>Indie Folk/World Music</t>
  </si>
  <si>
    <t>Beirut is an indie folk band led by Zach Condon, known for blending diverse musical influences such as Balkan folk, French chanson, and American indie rock. Their albums like 'Gulag Orkestar' and 'The Flying Club Cup' have received critical acclaim for their eclectic instrumentation and global sound.</t>
  </si>
  <si>
    <t>https://www.beirutband.com/asol/home</t>
  </si>
  <si>
    <t>https://open.spotify.com/artist/6pmxr66tMAePxzOLfjGNcX</t>
  </si>
  <si>
    <t>Beirut's artistry is widely praised for its unique fusion of global musical styles, and their live performances are celebrated for their rich, orchestral arrangements and emotional depth.</t>
  </si>
  <si>
    <t>https://downtherabbithole.nl/programma/beirut</t>
  </si>
  <si>
    <t>{"Instagram": "https://www.instagram.com/beirutband/?hl=en", "Facebook": "https://www.facebook.com/beirutmusic", "YouTube": "https://www.youtube.com/channel/UCEZfJck6FSa2W3-01J2_fhw", "Spotify": "https://open.spotify.com/artist/6pmxr66tMAePxzOLfjGNcX?si=ejTcL0rBS7G8cB_aq4x38Q", "Website": "https://www.beirutband.com/asol/home"}</t>
  </si>
  <si>
    <t>CMAT</t>
  </si>
  <si>
    <t>Witty pop tales with a twang</t>
  </si>
  <si>
    <t>Indie Pop/Country Pop</t>
  </si>
  <si>
    <t>Ireland</t>
  </si>
  <si>
    <t>CMAT is an Irish singer-songwriter known for her witty, narrative-driven lyrics and a unique blend of indie pop and country influences. Her music often explores themes of heartbreak, humor, and modern life, earning critical acclaim for her debut album 'If My Wife New I'd Be Dead' in 2022.</t>
  </si>
  <si>
    <t>https://cmatbaby.com/</t>
  </si>
  <si>
    <t>https://open.spotify.com/artist/3VBNIRx1LxVdRqOiPgkLwv</t>
  </si>
  <si>
    <t>CMAT has been praised for her sharp songwriting, charismatic personality, and engaging live performances, making her a standout in the indie music scene.</t>
  </si>
  <si>
    <t>https://downtherabbithole.nl/programma/cmat</t>
  </si>
  <si>
    <t>{"Instagram": "https://www.instagram.com/cmatbaby/", "Facebook": "https://www.facebook.com/CMATbaby/", "Twitter": "https://x.com/cmatbaby", "YouTube": "https://www.youtube.com/channel/UCqOs5M8ExbnFPgVU6dH9lsQ", "Spotify": "https://open.spotify.com/artist/3VBNIRx1LxVdRqOiPgkLwv?si=5DyfuegWS0WRlTTHSi2s9Q", "Website": "https://cmatbaby.com/"}</t>
  </si>
  <si>
    <t>Dabeull Live Band</t>
  </si>
  <si>
    <t>Future funk with a Thriller touch</t>
  </si>
  <si>
    <t>Funk/Disco</t>
  </si>
  <si>
    <t>France</t>
  </si>
  <si>
    <t>Dabeull Live Band delivers a fresh take on funk, blending sultry basslines and silky synths with a nostalgic yet modern sound. Known for restoring the mixing console used for Michael Jackson's 'Thriller,' the French artist brings smooth, summer-ready jams to the stage with a tight live band.</t>
  </si>
  <si>
    <t>https://dabeull.com/</t>
  </si>
  <si>
    <t>https://open.spotify.com/artist/7sw3xJMTpdcpfssx17hfrb</t>
  </si>
  <si>
    <t>Dabeull Live Band offers a compelling revival of funk, combining technical expertise with a deep love for the genre, making their live performances a treat for funk enthusiasts.</t>
  </si>
  <si>
    <t>https://downtherabbithole.nl/programma/dabeull-live-band</t>
  </si>
  <si>
    <t>Dabeull Live Band proves that funk is much more than a cheesy relic of the '80s. His fresh take on the slick genre sounds just as warm as the golden oldies, with sultry basslines and silky-smooth synths tickling your eardrums. The Frenchman takes his love for funk so far that he restored the mixing console used to record Michael Jackson's 'Thriller.' Accompanied by an incredibly tight band, he guarantees summery smooth jams on stage. So, bring the funk!
Photo by David Vasiljevic</t>
  </si>
  <si>
    <t>{"Instagram": "https://www.instagram.com/dabeull/", "Facebook": "https://www.facebook.com/dabeullmusic", "YouTube": "https://www.youtube.com/@Dabeull", "Spotify": "https://open.spotify.com/artist/7sw3xJMTpdcpfssx17hfrb?si=ZfXL8P4PT-u-StuUBiSdQQ", "Website": "https://dabeull.com/"}</t>
  </si>
  <si>
    <t>Harry Mack</t>
  </si>
  <si>
    <t>Mastermind of Spontaneous Flow.</t>
  </si>
  <si>
    <t>Harry Mack is an American freestyle rapper known for his exceptional improvisational skills, creating intricate and spontaneous rap verses based on audience suggestions. He gained widespread recognition through his 'Omegle Bars' series on YouTube and his viral street performances.</t>
  </si>
  <si>
    <t>https://www.harrymackofficial.com/</t>
  </si>
  <si>
    <t>https://open.spotify.com/artist/3XOZM0DtztbmC1IE3amUnn</t>
  </si>
  <si>
    <t>Harry Mack is widely praised for his unparalleled freestyle abilities, often described as a master of improvisation, and his live performances are celebrated for their energy and audience engagement.</t>
  </si>
  <si>
    <t>https://downtherabbithole.nl/programma/harry-mack</t>
  </si>
  <si>
    <t>{"Instagram": "https://www.instagram.com/harrymack", "Facebook": "https://www.facebook.com/harrymack", "Twitter": "https://x.com/harrymack", "YouTube": "https://www.youtube.com/harrymack", "Spotify": "https://open.spotify.com/artist/3XOZM0DtztbmC1IE3amUnn?si=W9pBuFXJTju499Nuul0CWA", "Website": "https://www.harrymackofficial.com/"}</t>
  </si>
  <si>
    <t>IJSLAND</t>
  </si>
  <si>
    <t>A fiery Amsterdam-based duo blending hip-hop, punk, trap, and hyperpop to challenge societal norms.</t>
  </si>
  <si>
    <t>hip-hop</t>
  </si>
  <si>
    <t>Netherlands</t>
  </si>
  <si>
    <t>https://open.spotify.com/artist/6qldO9Y7hb0qI9J50uR1zW</t>
  </si>
  <si>
    <t>IJSLAND is a dynamic Amsterdam-based duo featuring Sef and Abel, known for their genre-defying approach to hip-hop. Their music fuses elements of punk, trap, and hyperpop, delivering fiery, politically charged lyrics that critique autocrats, big tech, and capitalism, while also incorporating lighter, playful tracks and apocalyptic ballads. Their innovative sound and bold themes make them a standout act in the contemporary music scene.</t>
  </si>
  <si>
    <t>https://downtherabbithole.nl/programma/ijsland</t>
  </si>
  <si>
    <t>{"Instagram": "https://www.instagram.com/yousefgnaoui/", "Spotify": "https://open.spotify.com/artist/6qldO9Y7hb0qI9J50uR1zW?si=gcVuJzXrSpefjIvfi-PrMw"}</t>
  </si>
  <si>
    <t>Jim Legxacy</t>
  </si>
  <si>
    <t>Blending nostalgic UK sounds with global influences to craft a unique sonic identity.</t>
  </si>
  <si>
    <t>Alternative Hip-Hop/Experimental</t>
  </si>
  <si>
    <t>Jim Legxacy is a UK-based artist known for his innovative fusion of alternative hip-hop, R&amp;B, and experimental sounds, often incorporating elements of UK garage, grime, and global influences. His music is characterized by introspective lyrics, genre-blurring production, and a distinctive DIY aesthetic.</t>
  </si>
  <si>
    <t>https://open.spotify.com/artist/7IrBqZo6diq3hV3GpUhrs2</t>
  </si>
  <si>
    <t>Jim Legxacy's ability to merge alternative hip-hop with UK-centric genres like garage and grime, while infusing global and experimental elements, sets him apart as a boundary-pushing artist. His introspective songwriting and genre-defying production have garnered attention for their originality and emotional depth.</t>
  </si>
  <si>
    <t>https://downtherabbithole.nl/programma/jim-legxacy</t>
  </si>
  <si>
    <t>{"Instagram": "https://www.instagram.com/jim_legxacy/", "Twitter": "https://x.com/jim_legxacy", "YouTube": "https://www.youtube.com/channel/UCaysPT7A85wr9v0PWmrSC9A", "Spotify": "https://open.spotify.com/artist/7IrBqZo6diq3hV3GpUhrs2?si=H_PXH8gPTiyzoHkEyeNfwg", "Website": "https://www.jimlegxacy.com/"}</t>
  </si>
  <si>
    <t>JOHNNY MARR</t>
  </si>
  <si>
    <t>Iconic guitarist and songwriter known for his innovative work with The Smiths and a dynamic solo career.</t>
  </si>
  <si>
    <t>Alternative Rock/Indie Rock</t>
  </si>
  <si>
    <t>Johnny Marr is a legendary British guitarist, songwriter, and composer, best known as a founding member of The Smiths. Renowned for his jangly guitar style, he has also enjoyed a successful solo career and collaborations with artists like Modest Mouse and The Cribs.</t>
  </si>
  <si>
    <t>https://open.spotify.com/artist/2bA2YuQk2ID3PWNXUhQrWS</t>
  </si>
  <si>
    <t>Johnny Marr's signature jangly guitar sound and melodic sensibilities have made him a key figure in alternative rock. His work with The Smiths defined a generation, and his solo career showcases his continued innovation and mastery of the genre.</t>
  </si>
  <si>
    <t>https://downtherabbithole.nl/programma/johnny-marr</t>
  </si>
  <si>
    <t>His unmistakable guitar sound resonated in The The, Electronic, Modest Mouse, and briefly with The Pretenders. Since 2013, he has been forging his solo path, marked by four studio albums and three live albums. Noel Gallagher calls him a "fucking wizard." And of course, he was the right hemisphere of The Smiths, whose most cherished songs still accompany him. Now, as this influential guitar hero strikes again with the live album 'Look Out Live!', it can be announced with pride, love, and a drumroll: Make way for the mighty JOHNNY MARR!</t>
  </si>
  <si>
    <t>{"Instagram": "https://www.instagram.com/johnnymarrgram/", "Facebook": "https://www.facebook.com/officialjohnnymarr", "YouTube": "https://www.youtube.com/user/officialjohnnymarr", "Spotify": "https://open.spotify.com/artist/2bA2YuQk2ID3PWNXUhQrWS?si=fdXokfqlRiGrznd2tfwWHQ", "Website": "https://johnnymarr.com/"}</t>
  </si>
  <si>
    <t>Joy Crookes</t>
  </si>
  <si>
    <t>Soulful storyteller with timeless grace</t>
  </si>
  <si>
    <t>Soul/R&amp;B</t>
  </si>
  <si>
    <t>Joy Crookes is a British singer-songwriter known for her soulful voice and introspective lyrics, blending influences from jazz, R&amp;B, and South Asian music. She has received critical acclaim for her debut album 'Skin' and was nominated for the 2020 BRIT Rising Star Award.</t>
  </si>
  <si>
    <t>https://www.joycrookes.com/</t>
  </si>
  <si>
    <t>https://open.spotify.com/artist/5XMyhVhi5ZN2pi0Qwi1zXS</t>
  </si>
  <si>
    <t>Joy Crookes is celebrated for her rich, emotive vocal delivery and her ability to weave personal and cultural narratives into her music. Her live performances are often praised for their authenticity and emotional depth.</t>
  </si>
  <si>
    <t>https://downtherabbithole.nl/programma/joy-crookes</t>
  </si>
  <si>
    <t>She had been out of sight for a while, Joy Crookes, the London singer of Bengali-Irish descent who debuted in 2021 with a stunning neo-soul album and was already admired at Down The Rabbit Hole a year later. But now she's back. That life hasn't always smiled upon her in the meantime is evident from the emotional lyrics on 'Juniper' (2025), an album that continues where its predecessor left off with retro soul infused with hints of trip-hop, rap, and reggae. Jazzier than Amy Winehouse, more hip-hop than Celeste, a true ode to Joy.</t>
  </si>
  <si>
    <t>{"Instagram": "https://www.instagram.com/joycrookes", "YouTube": "https://www.youtube.com/joyohjoyoh", "Spotify": "https://open.spotify.com/artist/5XMyhVhi5ZN2pi0Qwi1zXS?si=DReWw8XERo20DeQWZpulig", "Website": "https://www.joycrookes.com/"}</t>
  </si>
  <si>
    <t>Matt Berninger</t>
  </si>
  <si>
    <t>Baritone poet of indie sorrow</t>
  </si>
  <si>
    <t>Indie Rock/Alternative Rock</t>
  </si>
  <si>
    <t>Matt Berninger is the lead vocalist of the critically acclaimed indie rock band The National, known for his deep baritone voice and introspective lyrics. He has also released solo work, including his debut album 'Serpentine Prison' in 2020, which explores themes of melancholy and personal reflection.</t>
  </si>
  <si>
    <t>https://mattberninger.komi.io/</t>
  </si>
  <si>
    <t>https://open.spotify.com/artist/27jRNjIvlUcGN7FBRDnqhp</t>
  </si>
  <si>
    <t>Matt Berninger's artistry is widely praised for its emotional depth and poetic lyricism, and his live performances are noted for their intimate and compelling delivery.</t>
  </si>
  <si>
    <t>https://downtherabbithole.nl/programma/matt-berninger</t>
  </si>
  <si>
    <t>{"Instagram": "https://www.instagram.com/mattberninger/", "Facebook": "https://www.facebook.com/mattberninger", "YouTube": "https://www.youtube.com/@MattBerningerOfficial", "Spotify": "https://open.spotify.com/artist/27jRNjIvlUcGN7FBRDnqhp?si=0lIbQ79wSFKhjSvStIlhOQ", "Website": "https://mattberninger.komi.io/"}</t>
  </si>
  <si>
    <t>Oklou</t>
  </si>
  <si>
    <t>Dreamweaver of ethereal electronic realms</t>
  </si>
  <si>
    <t>Electronic/Pop</t>
  </si>
  <si>
    <t>Oklou, born Marylou Mayniel, is a French producer, singer, and songwriter known for her ethereal blend of electronic and pop music, showcased in her critically acclaimed mixtape 'Galore' (2020). Her music often features introspective lyrics and experimental production, earning her a growing international fanbase.</t>
  </si>
  <si>
    <t>https://oklou.com/</t>
  </si>
  <si>
    <t>https://open.spotify.com/artist/6fFcUOFcbjeIuEomuUthkw</t>
  </si>
  <si>
    <t>Oklou's artistry is praised for its emotional depth and innovative production, making her a standout in the electronic pop scene. Her live performances are noted for their intimate and immersive quality.</t>
  </si>
  <si>
    <t>https://downtherabbithole.nl/programma/oklou</t>
  </si>
  <si>
    <t>{"Instagram": "https://www.instagram.com/oklou_/", "Facebook": "https://www.facebook.com/Oklou93/", "Twitter": "https://x.com/oklou_/", "YouTube": "https://www.youtube.com/user/loumar86", "Spotify": "https://open.spotify.com/artist/6fFcUOFcbjeIuEomuUthkw?si=ZZKJZJqdTPm9ttMb5KBTwA", "Website": "https://oklou.com/"}</t>
  </si>
  <si>
    <t>Overmono</t>
  </si>
  <si>
    <t>Future beats forged in unity.</t>
  </si>
  <si>
    <t>Electronic/Techno</t>
  </si>
  <si>
    <t>Overmono is a British electronic music duo composed of brothers Tom and Ed Russell, known for their innovative blend of techno, breakbeat, and UK garage influences. They have gained critical acclaim for their dynamic productions and high-energy live performances.</t>
  </si>
  <si>
    <t>https://overmono.com/</t>
  </si>
  <si>
    <t>https://open.spotify.com/artist/01PnN11ovfen6xUOHfNpn3</t>
  </si>
  <si>
    <t>Overmono has been praised for their ability to seamlessly merge genres and deliver captivating live sets, making them a standout act in the electronic music scene.</t>
  </si>
  <si>
    <t>https://downtherabbithole.nl/programma/overmono</t>
  </si>
  <si>
    <t>{"Instagram": "https://www.instagram.com/overmono/", "Twitter": "https://x.com/Truss_101", "YouTube": "https://www.youtube.com/c/Overmono_UK/videos", "Spotify": "https://open.spotify.com/artist/01PnN11ovfen6xUOHfNpn3?si=JbiOCMfnTGKlkjxe6MZ86g", "Website": "https://overmono.com/"}</t>
  </si>
  <si>
    <t>Sierra Ferrell</t>
  </si>
  <si>
    <t>Vintage soul, wandering heart, timeless voice</t>
  </si>
  <si>
    <t>Americana/Folk/Country</t>
  </si>
  <si>
    <t>Sierra Ferrell is an Americana and folk singer-songwriter known for her eclectic blend of country, bluegrass, and gypsy jazz influences. Her debut album 'Long Time Coming' has been widely praised for its vintage sound and heartfelt storytelling.</t>
  </si>
  <si>
    <t>https://www.sierraferrellmusic.com/</t>
  </si>
  <si>
    <t>https://open.spotify.com/artist/3oVcF3VdpMuvMvLLyHPT4t</t>
  </si>
  <si>
    <t>Sierra Ferrell is celebrated for her captivating voice and genre-blending style, with live performances that showcase her charisma and musicianship.</t>
  </si>
  <si>
    <t>https://downtherabbithole.nl/programma/sierra-ferrell</t>
  </si>
  <si>
    <t>{"Instagram": "https://www.instagram.com/sierraelizabethferrell/", "Facebook": "https://www.facebook.com/sierraferrellmusic/", "Twitter": "https://x.com/SierraFerrell", "YouTube": "https://www.youtube.com/channel/UCbjFZTjyAveA2dOTCmkZ3ng", "Spotify": "https://open.spotify.com/artist/3oVcF3VdpMuvMvLLyHPT4t?si=_-xqamRrRo6Pz3TYIafr8g", "Website": "https://www.sierraferrellmusic.com/"}</t>
  </si>
  <si>
    <t>Son Mieux</t>
  </si>
  <si>
    <t>Anthems of light, born to dance.</t>
  </si>
  <si>
    <t>Indie Pop/Folk</t>
  </si>
  <si>
    <t>Son Mieux is a Dutch indie pop band known for their vibrant, anthemic songs that blend folk influences with modern pop sensibilities. They have gained recognition for their energetic live performances and their ability to craft uplifting, danceable tracks.</t>
  </si>
  <si>
    <t>https://open.spotify.com/artist/1BCBAzjX8J0qpvNTPRDCLc</t>
  </si>
  <si>
    <t>Son Mieux has been praised for their dynamic stage presence and ability to engage audiences with their infectious melodies and heartfelt lyrics.</t>
  </si>
  <si>
    <t>https://downtherabbithole.nl/programma/son-mieux</t>
  </si>
  <si>
    <t>{"Instagram": "https://www.instagram.com/son.mieux", "Facebook": "https://www.facebook.com/sonmieux", "Twitter": "https://sonmieux.com/", "YouTube": "https://www.youtube.com/sonmieux", "Spotify": "https://open.spotify.com/artist/1BCBAzjX8J0qpvNTPRDCLc?si=FBMfKJYXRR6s1xRrn3oqPw"}</t>
  </si>
  <si>
    <t>De Staat Becomes De Staat</t>
  </si>
  <si>
    <t>De Staat: Boundaries Broken, Realities Remade</t>
  </si>
  <si>
    <t>Rock/Alternative/Experimental</t>
  </si>
  <si>
    <t>De Staat is a Dutch band known for their inventive and fearless live performances, blending sharp social commentary with a genre-defying sound and unique visual stage presence. They have gained international acclaim, performing at major festivals and touring with iconic bands like The Rolling Stones and Muse.</t>
  </si>
  <si>
    <t>https://www.destaat.net/</t>
  </si>
  <si>
    <t>https://open.spotify.com/artist/4rZJKub3qA5t1yYcT3qmm4</t>
  </si>
  <si>
    <t>De Staat consistently pushes the boundaries of what a rock band can achieve, and their upcoming project 'De Staat Becomes De Staat' promises to elevate their artistry even further with a bold combination of music, live performance, and art installation.</t>
  </si>
  <si>
    <t>https://downtherabbithole.nl/programma/de-staat-becomes-de-staat</t>
  </si>
  <si>
    <t>{"Instagram": "https://www.instagram.com/destaat/", "Facebook": "https://www.facebook.com/destaat/", "Twitter": "https://x.com/destaat", "YouTube": "https://www.youtube.com/channel/UC76ZUrNB2MHoZB1BQ2Ip8Xw", "Spotify": "https://open.spotify.com/artist/4rZJKub3qA5t1yYcT3qmm4?si=gsefYJ8ISY-kkZ37KclnFQ", "Website": "https://www.destaat.net/"}</t>
  </si>
  <si>
    <t>Thee Sacred Souls</t>
  </si>
  <si>
    <t>A modern soul revival band blending vintage R&amp;B with heartfelt lyrics and timeless grooves.</t>
  </si>
  <si>
    <t>Thee Sacred Souls are a San Diego-based soul band that combines the classic sounds of 1960s and 1970s R&amp;B with a contemporary twist. Known for their smooth vocals, lush instrumentation, and heartfelt songwriting, they have quickly gained recognition in the modern soul revival scene.</t>
  </si>
  <si>
    <t>https://open.spotify.com/artist/0oK5D6uPhGu4Jk2dbZfodU</t>
  </si>
  <si>
    <t>Thee Sacred Souls deliver a nostalgic yet fresh take on classic soul and R&amp;B, drawing comparisons to legends like Curtis Mayfield and Al Green while carving out their own unique identity. Their music is characterized by warm, vintage production and emotionally resonant performances, making them a standout act in the modern soul movement.</t>
  </si>
  <si>
    <t>https://downtherabbithole.nl/programma/thee-sacred-souls</t>
  </si>
  <si>
    <t>{"Instagram": "https://www.instagram.com/theesacredsouls", "Facebook": "https://www.facebook.com/theesacredsouls", "Twitter": "https://x.com/TheeSacredSouls", "YouTube": "https://www.youtube.com/c/theesacredsouls", "Spotify": "https://open.spotify.com/artist/0oK5D6uPhGu4Jk2dbZfodU?si=bBjVequ2SfSlF19WvOasJw", "Website": "https://www.theesacredsouls.com/"}</t>
  </si>
  <si>
    <t>Sticks + Nederlands Philharmonisch</t>
  </si>
  <si>
    <t>Rap Royalty Meets Orchestral Majesty</t>
  </si>
  <si>
    <t>https://open.spotify.com/artist/0DnbOatBnP7UDkeiQACgxd</t>
  </si>
  <si>
    <t>https://downtherabbithole.nl/programma/sticks-nederlands-philharmonisch</t>
  </si>
  <si>
    <t>{"Instagram": "https://www.instagram.com/sticks_insta/?hl=en", "Facebook": "https://www.facebook.com/Sticksishier/", "Spotify": "https://open.spotify.com/artist/0DnbOatBnP7UDkeiQACgxd?si=mW6l_8CYT0aXPat_eMy5vg"}</t>
  </si>
  <si>
    <t>Sticks &amp; ...</t>
  </si>
  <si>
    <t>Rhythms reimagined, boundaries shattered.</t>
  </si>
  <si>
    <t>[using festival bio due to a lack of publicly available data] Sticks &amp; ???</t>
  </si>
  <si>
    <t>https://downtherabbithole.nl/programma/sticks</t>
  </si>
  <si>
    <t>Sticks &amp;amp; ???</t>
  </si>
  <si>
    <t>Sticks &amp; ???</t>
  </si>
  <si>
    <t>TOMORA</t>
  </si>
  <si>
    <t>Cosmic pop ignited by chaos.</t>
  </si>
  <si>
    <t>Norway</t>
  </si>
  <si>
    <t>https://www.tomora.com/</t>
  </si>
  <si>
    <t>https://open.spotify.com/artist/5r0BuurxKQugj8cjHiO8pY</t>
  </si>
  <si>
    <t>The project combines AURORA's ethereal vocals with potential electronic influences from Tom Rowlands and emotive songwriting from Tom Odell, suggesting a unique blend of atmospheric pop and experimental electronic elements. Their secretive branding and high-profile festival appearances add intrigue.</t>
  </si>
  <si>
    <t>https://downtherabbithole.nl/programma/tomora</t>
  </si>
  <si>
    <t>{"Instagram": "https://www.instagram.com/tomora/?__d=1%2F%2F", "Facebook": "https://www.facebook.com/tomoraofficial/", "Twitter": "https://x.com/TOMORAofficial", "YouTube": "https://www.youtube.com/@tomoraofficial", "Spotify": "https://open.spotify.com/artist/5r0BuurxKQugj8cjHiO8pY?si=W-S4-SoTQ62pqcqfc1t7aQ", "Website": "https://www.tomora.com/"}</t>
  </si>
  <si>
    <t>Osaka's sonic architect of chaos</t>
  </si>
  <si>
    <t>Techno/Heavy Metal/Bass Music</t>
  </si>
  <si>
    <t>Japan</t>
  </si>
  <si>
    <t>https://open.spotify.com/playlist/3U5WSeCHvfCOUU4f0FerX9</t>
  </si>
  <si>
    <t>https://downtherabbithole.nl/programma/yenouukeur-yenuk1matu</t>
  </si>
  <si>
    <t>{"Instagram": "https://www.instagram.com/yousukeyukimatsu/?hl=en", "YouTube": "https://www.youtube.com/@yousuke.yukimatsu"}</t>
  </si>
  <si>
    <t>Zwangere Guy</t>
  </si>
  <si>
    <t>Brussels' raw voice, unfiltered truth.</t>
  </si>
  <si>
    <t>Belgium</t>
  </si>
  <si>
    <t>Zwangere Guy is a Belgian rapper known for his raw and introspective lyrics, often delivered in his native Brussels dialect. He has gained acclaim for his impactful storytelling and energetic performances, becoming a prominent figure in the Belgian hip-hop scene.</t>
  </si>
  <si>
    <t>https://www.zwangereguy.brussels/</t>
  </si>
  <si>
    <t>https://open.spotify.com/artist/2Sm4rGKWBnOQhdqDy4JJh0</t>
  </si>
  <si>
    <t>Zwangere Guy is celebrated for his authenticity and dynamic stage presence, making him a standout in European hip-hop.</t>
  </si>
  <si>
    <t>https://downtherabbithole.nl/programma/zwangere-guy</t>
  </si>
  <si>
    <t>{"Instagram": "https://www.instagram.com/zwangere.guy/", "Facebook": "https://www.facebook.com/ZwangereGuy", "YouTube": "https://www.youtube.com/channel/UC-owEsCOkvdKfhUbs5crWKw", "Spotify": "https://open.spotify.com/artist/2Sm4rGKWBnOQhdqDy4JJh0?si=fWyRb41PR8-cqB2x-_rAGg", "Website": "https://www.zwangereguy.brussels/"}</t>
  </si>
  <si>
    <t>Arp Frique &amp; The Perpetual Singers</t>
  </si>
  <si>
    <t>Groove alchemists of global disco funk</t>
  </si>
  <si>
    <t>Disco/Funk/World</t>
  </si>
  <si>
    <t>Arp Frique &amp; The Perpetual Singers is a project led by Dutch producer and musician Niels Nieuborg, blending disco, funk, and Afro-Caribbean influences into a vibrant and eclectic sound.</t>
  </si>
  <si>
    <t>https://arpfrique.com/</t>
  </si>
  <si>
    <t>https://open.spotify.com/artist/2Rm5Fw56mWmB0Pz0JPcOyb</t>
  </si>
  <si>
    <t>Their music is celebrated for its infectious grooves and cross-cultural appeal, making them a standout act in the global music scene.</t>
  </si>
  <si>
    <t>https://downtherabbithole.nl/programma/arp-frique-the-perpetual-singers</t>
  </si>
  <si>
    <t>{"Instagram": "https://www.instagram.com/arpfrique/?hl=en", "Facebook": "https://www.facebook.com/arpfrique", "YouTube": "https://www.youtube.com/channel/UC8CbSCzIxU-9vpbUNtb5XPQ", "Spotify": "https://open.spotify.com/artist/2Rm5Fw56mWmB0Pz0JPcOyb?si=08envLcbQDmFzW28lTKjag", "Website": "https://arpfrique.com/"}</t>
  </si>
  <si>
    <t>Avalon Emerson</t>
  </si>
  <si>
    <t>Boundary-breaking architect of electronic dreams</t>
  </si>
  <si>
    <t>Electronic/House/Techno</t>
  </si>
  <si>
    <t>Avalon Emerson is an American electronic music producer and DJ known for her genre-blending approach to house and techno, as well as her innovative remixes and original productions that have earned her critical acclaim in the electronic music scene.</t>
  </si>
  <si>
    <t>https://avalonemerson.com/</t>
  </si>
  <si>
    <t>https://open.spotify.com/artist/4yrO1N273PlTaixa4BNwBz</t>
  </si>
  <si>
    <t>Avalon Emerson is celebrated for her dynamic live DJ sets and her ability to seamlessly blend genres, making her a standout artist in the electronic music world.</t>
  </si>
  <si>
    <t>https://downtherabbithole.nl/programma/avalon-emerson</t>
  </si>
  <si>
    <t>Ze maakte furore in San Francisco, voordat ze naar Berlijn verhuisde om nieuw leven in de technohoofdstad te blazen. De sets van Avalon Emerson zijn namelijk briljant: eclectisch, uiterst dansbaar en onbeschrijflijk episch. Weinig deejays zijn zo behendig in uiteenlopende muzikale lagen op elkaar stapelen tot een schitterend nieuw geheel. Obscure bangers en creatieve edits van gerenommeerde artiesten vloeien naadloos in elkaar over, zelfs als ze ruim elf uur nachtdienst heeft achter de decks van Panorama Bar. Kortom: letterlijk niemand doet het zoals Avalon Emerson.</t>
  </si>
  <si>
    <t>She made a name for herself in San Francisco before moving to Berlin to breathe new life into the techno capital. Avalon Emerson's sets are nothing short of brilliant: eclectic, highly danceable, and indescribably epic. Few DJs are as adept at layering diverse musical elements into a dazzling new whole. Obscure bangers and creative edits of renowned artists flow seamlessly into one another, even during an eleven-hour night shift behind the decks at Panorama Bar. In short: absolutely no one does it like Avalon Emerson.</t>
  </si>
  <si>
    <t>{"Instagram": "https://www.instagram.com/avalon9000/?hl=en", "Facebook": "https://www.facebook.com/AvalonEmerson", "Twitter": "https://x.com/avalon_emerson", "YouTube": "https://www.youtube.com/c/AvalonEmerson9000", "Spotify": "https://open.spotify.com/artist/4yrO1N273PlTaixa4BNwBz?si=BH3huqWCSWSgCRq2gEoLHA", "SoundCloud": "https://soundcloud.com/avalonemerson", "Website": "https://avalonemerson.com/"}</t>
  </si>
  <si>
    <t>Baxter Dury</t>
  </si>
  <si>
    <t>Debonair tales wrapped in synth noir</t>
  </si>
  <si>
    <t>Indie Rock/Alternative</t>
  </si>
  <si>
    <t>Baxter Dury is a British musician known for his distinctive spoken-word vocal style and atmospheric, synth-driven indie rock. He has released several critically acclaimed albums, blending wry, observational lyrics with lush, cinematic instrumentation.</t>
  </si>
  <si>
    <t>https://www.baxterdury.uk/?ffm=FFM_7c93e282dc30ed77d5f29f259737c0d9</t>
  </si>
  <si>
    <t>https://open.spotify.com/artist/0EgHhNmWcjusA7F2heSD0O</t>
  </si>
  <si>
    <t>Baxter Dury is celebrated for his unique storytelling and charismatic stage presence, often delivering compelling live performances that highlight his artistry.</t>
  </si>
  <si>
    <t>https://downtherabbithole.nl/programma/baxter-dury</t>
  </si>
  <si>
    <t>{"Instagram": "https://www.instagram.com/baxterdury/?hl=en", "Facebook": "https://www.facebook.com/baxter.dury/", "YouTube": "https://www.youtube.com/channel/UCm7k21nBoykyDbM9LZunRCw", "Spotify": "https://open.spotify.com/artist/0EgHhNmWcjusA7F2heSD0O?si=tyLd9L0rRVCqGKuJJQIeDQ", "Website": "https://www.baxterdury.uk/?ffm=FFM_7c93e282dc30ed77d5f29f259737c0d9"}</t>
  </si>
  <si>
    <t>Charlotte Cardin</t>
  </si>
  <si>
    <t>Velvety voice, where genres collide.</t>
  </si>
  <si>
    <t>Pop/Jazz/Electropop</t>
  </si>
  <si>
    <t>Canada</t>
  </si>
  <si>
    <t>Charlotte Cardin is a Canadian singer-songwriter known for her blend of pop, jazz, and electronic influences, with critically acclaimed releases like her debut album 'Phoenix' which won several awards, including the 2022 Juno Award for Album of the Year.</t>
  </si>
  <si>
    <t>https://www.charlottecardin.com/en</t>
  </si>
  <si>
    <t>https://open.spotify.com/artist/1G0YV9WooUBjrwDq0Q7EFK</t>
  </si>
  <si>
    <t>Charlotte Cardin is praised for her emotive vocal delivery and genre-blending style, and her live performances are often described as intimate and captivating.</t>
  </si>
  <si>
    <t>https://downtherabbithole.nl/programma/charlotte-cardin</t>
  </si>
  <si>
    <t>{"Instagram": "https://www.instagram.com/charlottecardin/", "Facebook": "https://www.facebook.com/charlottecardinofficial/", "Twitter": "https://x.com/Charlottecardin", "YouTube": "https://www.youtube.com/channel/UCIEcq0eG63LS-4J9M1qNj9Q", "Spotify": "https://open.spotify.com/artist/1G0YV9WooUBjrwDq0Q7EFK?si=nNAKXcxMS9OIcHom-KDpwg", "Website": "https://www.charlottecardin.com/en"}</t>
  </si>
  <si>
    <t>Claw Boys Claw</t>
  </si>
  <si>
    <t>Dutch rock legends known for their raw energy and eclectic sound.</t>
  </si>
  <si>
    <t>Rock/Garage Rock</t>
  </si>
  <si>
    <t>Claw Boys Claw is a Dutch rock band formed in 1983, known for their energetic live performances and a sound that blends garage rock with punk and blues influences. They gained critical acclaim in the 1980s and remain a respected name in the Dutch music scene.</t>
  </si>
  <si>
    <t>https://open.spotify.com/artist/5t378xBMytAymycG84zIPv</t>
  </si>
  <si>
    <t>Claw Boys Claw's fusion of garage rock, punk, and blues, combined with their high-energy live shows, has made them a standout act in the Netherlands since the 1980s. Their music is characterized by gritty vocals, raw guitar riffs, and a rebellious spirit.</t>
  </si>
  <si>
    <t>https://downtherabbithole.nl/programma/claw-boys-claw</t>
  </si>
  <si>
    <t>{"Instagram": "https://www.instagram.com/clawboysclaw/", "Facebook": "https://www.facebook.com/ClawBoysClaw/", "YouTube": "https://www.youtube.com/user/clawboysclaw", "Spotify": "https://open.spotify.com/artist/5t378xBMytAymycG84zIPv?si=c-6bnM58TFKXpT1J24Siiw", "Website": "https://clawboysclaw.nl/"}</t>
  </si>
  <si>
    <t>Deki Alem</t>
  </si>
  <si>
    <t>Explosive Swedish twin duo blending drum 'n' bass, trip-hop, big beat, and UK garage with high-energy rap.</t>
  </si>
  <si>
    <t>Sweden</t>
  </si>
  <si>
    <t>[using festival bio due to a lack of publicly available data] There aren't many identical twins in pop music, but that's not the only reason why Deki Alem, aka the Swedish twins Sammy &amp; Johnny Bennett, is such a remarkable duo. Musically, the Scandinavians are unmatched: an explosive hotbed of drum 'n' bass, trip-hop, big beat, and UK garage, over which the pair rap with energy to spare. Their albums and EPs are brimming with it, and a spectacular live show completes the picture. So, what's the deal? Wherever the brothers take the stage, it's a party.
Image by Noah Agemo</t>
  </si>
  <si>
    <t>https://open.spotify.com/artist/2AK3F4tVjxYuqSGefozy52</t>
  </si>
  <si>
    <t>Deki Alem delivers a high-energy fusion of drum 'n' bass, trip-hop, big beat, and UK garage, with dynamic rap performances by Swedish twin brothers Sammy and Johnny Bennett. Their music is characterized by its explosive energy and genre-blending creativity, and their live shows are celebrated for their party-like atmosphere.</t>
  </si>
  <si>
    <t>https://downtherabbithole.nl/programma/deki-alem</t>
  </si>
  <si>
    <t>There aren't many identical twins in pop music, but that's not the only reason why Deki Alem, aka the Swedish twins Sammy &amp; Johnny Bennett, is such a remarkable duo. Musically, the Scandinavians are unmatched: an explosive hotbed of drum 'n' bass, trip-hop, big beat, and UK garage, over which the pair rap with energy to spare. Their albums and EPs are brimming with it, and a spectacular live show completes the picture. So, what's the deal? Wherever the brothers take the stage, it's a party.
Image by Noah Agemo</t>
  </si>
  <si>
    <t>{"Instagram": "https://www.instagram.com/dekialem/", "YouTube": "https://www.youtube.com/@dekialem", "Spotify": "https://open.spotify.com/artist/2AK3F4tVjxYuqSGefozy52?si=flIP4T9iT3qrE_EdVd11lw", "Website": "https://www.dekialem.com/"}</t>
  </si>
  <si>
    <t>Anatolian rhythms, psychedelic horizons.</t>
  </si>
  <si>
    <t>Anatolian Rock/Psychedelic Folk</t>
  </si>
  <si>
    <t>Turkey/France</t>
  </si>
  <si>
    <t>https://deryayildirimgrupsimsek.com/</t>
  </si>
  <si>
    <t>https://open.spotify.com/artist/2Y0SH69uxHrHrjiZCuTSaT</t>
  </si>
  <si>
    <t>The band has been praised for their ability to modernize traditional Turkish music while maintaining its emotional depth, making them a standout act in the global psychedelic and world music scenes.</t>
  </si>
  <si>
    <t>https://downtherabbithole.nl/programma/derya-yildirim-grup-simsek</t>
  </si>
  <si>
    <t>{"Instagram": "https://www.instagram.com/deryayildirim_grupsimsek/?hl=en", "Facebook": "https://www.facebook.com/deryayildirimandgrupsimsek/", "YouTube": "https://www.youtube.com/channel/UCzb_F7j1x2ifndYPftBTxBg", "Spotify": "https://open.spotify.com/artist/2Y0SH69uxHrHrjiZCuTSaT?si=4fN28vGfRgiM030tRS02QA", "Website": "https://deryayildirimgrupsimsek.com/"}</t>
  </si>
  <si>
    <t>Florence Road</t>
  </si>
  <si>
    <t>Nostalgic grunge-pop with an Irish soul</t>
  </si>
  <si>
    <t>Grunge-pop/Indie rock</t>
  </si>
  <si>
    <t>Florence Road is a four-piece grunge-pop band from Ireland, led by vocalist Lily Aron. They gained attention as a TikTok cover band and quickly rose to indie fame, supporting Olivia Rodrigo and working on their debut album.</t>
  </si>
  <si>
    <t>https://florenceroad.os.fan/sign-up</t>
  </si>
  <si>
    <t>https://open.spotify.com/artist/0zzKEeF2bAVKrWeKc9CyJV</t>
  </si>
  <si>
    <t>Florence Road's raw yet emotional sound, combined with their rapid rise in the indie scene, makes them a promising act for fans of nostalgic yet fresh grunge-pop.</t>
  </si>
  <si>
    <t>https://downtherabbithole.nl/programma/florence-road</t>
  </si>
  <si>
    <t>{"Instagram": "https://www.instagram.com/florence.road/?hl=en", "YouTube": "https://www.youtube.com/channel/UCNfdv6gsOgE0n-C9lPuK5DA", "Spotify": "https://open.spotify.com/artist/0zzKEeF2bAVKrWeKc9CyJV?si=e-wOCDjHRdSYTo80YnmwdA", "Website": "https://florenceroad.os.fan/sign-up"}</t>
  </si>
  <si>
    <t>Folk Bitch Trio</t>
  </si>
  <si>
    <t>Harmonies, Heart, and Brazen Truths</t>
  </si>
  <si>
    <t>Folk/Acoustic</t>
  </si>
  <si>
    <t>Folk Bitch Trio, formed by Heide, Jeanie, and Gracie in Melbourne, captures everyday experiences through angelic harmonies, refined guitar chords, and sharp, thoughtful lyrics. Their debut album, recorded analog, showcases their close friendship and musical chemistry.</t>
  </si>
  <si>
    <t>https://www.folkbitchtrio.com/</t>
  </si>
  <si>
    <t>https://open.spotify.com/artist/26jdbJyBkpr6LivDYvKp2r</t>
  </si>
  <si>
    <t>The trio's blend of intricate harmonies and poetic lyricism makes them a standout act in the contemporary folk scene, with their debut album receiving praise for its authenticity and emotional depth.</t>
  </si>
  <si>
    <t>https://downtherabbithole.nl/programma/folk-bitch-trio</t>
  </si>
  <si>
    <t>{"Instagram": "https://www.instagram.com/fbtband", "YouTube": "https://www.youtube.com/@folkbitchtrioforever", "Spotify": "https://open.spotify.com/artist/26jdbJyBkpr6LivDYvKp2r?si=Dbe4J9cISJmr__m2Vpa1hw", "Website": "https://www.folkbitchtrio.com/"}</t>
  </si>
  <si>
    <t>Gerd Janson b2b HUNEE</t>
  </si>
  <si>
    <t>A powerhouse duo blending deep house, disco, and eclectic grooves for unforgettable dancefloor experiences.</t>
  </si>
  <si>
    <t>House/Disco/Electronic</t>
  </si>
  <si>
    <t>Germany/South Korea</t>
  </si>
  <si>
    <t>Gerd Janson and HUNEE are renowned DJs and producers known for their dynamic back-to-back sets, combining deep house, disco, and eclectic electronic sounds. Both artists are celebrated for their impeccable track selections and ability to create euphoric atmospheres during live performances.</t>
  </si>
  <si>
    <t>https://open.spotify.com/artist/4jLpm91Tyk2TRgv43bMfZO</t>
  </si>
  <si>
    <t>Gerd Janson and HUNEE's collaborative sets are a masterclass in blending genres, seamlessly transitioning between deep house, disco, and global electronic influences. Their performances are highly regarded for their energy, technical skill, and ability to captivate diverse audiences.</t>
  </si>
  <si>
    <t>https://downtherabbithole.nl/programma/gerd-janson-b2b-hunee</t>
  </si>
  <si>
    <t>Two DJs for the price of one, that's always an appealing option. In this case, we're talking about two vinyl-loving Germans, although HUNEE has long been based in Amsterdam and Janson was born in Romania. They've played side by side before, and while HUNEE already creates a glorious dancefloor vibe with his regular partner Antal, his style might blend even more seamlessly with Janson's. Together, they craft a disco-house party of epic proportions, with an unparalleled track selection and a built-in seventh-heaven guarantee.</t>
  </si>
  <si>
    <t>{"Instagram": "https://www.instagram.com/gerdjansonofficial/", "Facebook": "https://www.facebook.com/hunchmusic/", "Spotify": "https://open.spotify.com/artist/4jLpm91Tyk2TRgv43bMfZO?si=1ITpVe0pR5GfjI_iIcVQNA", "SoundCloud": "https://soundcloud.com/hunee"}</t>
  </si>
  <si>
    <t>Jacob Alon</t>
  </si>
  <si>
    <t>Heavenly voice and minimal accompaniment define the folk-pop brilliance of Jacob Alon.</t>
  </si>
  <si>
    <t>folk-pop</t>
  </si>
  <si>
    <t>Scotland</t>
  </si>
  <si>
    <t>https://open.spotify.com/artist/6wef18QJfuh9f0C4v3TEVH</t>
  </si>
  <si>
    <t>Jacob Alon's folk-pop sound combines a heavenly voice with minimal instrumental backing, drawing comparisons to legends like Bowie, Buckley, and Wainwright. His debut album 'In Limerence' received critical acclaim in 2025, and his live performances, including at Glastonbury and 'Later... with Jools Holland,' have been described as captivating. Winning the British Critics' Choice Award for Best New Talent further cements his status as a rising star.</t>
  </si>
  <si>
    <t>https://downtherabbithole.nl/programma/jacob-alon</t>
  </si>
  <si>
    <t>{"Instagram": "https://www.instagram.com/jacobalon/", "Facebook": "https://www.facebook.com/jacobal0n", "YouTube": "https://www.youtube.com/@jacobal0n", "Spotify": "https://open.spotify.com/artist/6wef18QJfuh9f0C4v3TEVH?si=IWHnhXO3TYucWjzCyZQWrA", "Website": "https://www.jacobalon.scot/"}</t>
  </si>
  <si>
    <t>Kevin Morby</t>
  </si>
  <si>
    <t>Poetic troubadour of indie dreams</t>
  </si>
  <si>
    <t>Indie Rock/Folk Rock</t>
  </si>
  <si>
    <t>Kevin Morby is an American singer-songwriter and guitarist known for his introspective lyrics and a blend of indie rock and folk influences. He has released several critically acclaimed albums, including 'Singing Saw' and 'City Music', which showcase his poetic storytelling and unique sound.</t>
  </si>
  <si>
    <t>https://www.kevinmorby.com/</t>
  </si>
  <si>
    <t>https://open.spotify.com/artist/6fxk3UXHTFYET8qCT9WlBF</t>
  </si>
  <si>
    <t>Kevin Morby is widely praised for his evocative songwriting and ability to craft atmospheric, emotionally resonant music. His live performances are often described as intimate and captivating, making him a standout in the indie music scene.</t>
  </si>
  <si>
    <t>https://downtherabbithole.nl/programma/kevin-morby</t>
  </si>
  <si>
    <t>{"Instagram": "https://www.instagram.com/kevinmorby/", "Facebook": "https://www.facebook.com/kevinrobertmorby", "Twitter": "https://x.com/kevinmorby", "YouTube": "https://www.youtube.com/channel/UCvMBsRrwruNyPB3VSPDSUiQ", "Spotify": "https://open.spotify.com/artist/6fxk3UXHTFYET8qCT9WlBF?si=uKQtL0WtTqO5ItVi8X_CLA", "Website": "https://www.kevinmorby.com/"}</t>
  </si>
  <si>
    <t>Kin'Gongolo Kiniata</t>
  </si>
  <si>
    <t>Punk/Electronic/Afropop</t>
  </si>
  <si>
    <t>DR Congo</t>
  </si>
  <si>
    <t>Kin'Gongolo Kiniata is a group from Kinshasa that creates explosive punky electronic music with a touch of afropop, using recycled everyday objects as instruments. They represent the new wave of Congolese music, blending tradition with a revolutionary modern sound.</t>
  </si>
  <si>
    <t>https://open.spotify.com/artist/7zfl0DQa6Ds6AsB1OQBM54</t>
  </si>
  <si>
    <t>Their innovative use of recycled materials and socially charged themes make them a unique and impactful act, blending raw energy with cultural depth.</t>
  </si>
  <si>
    <t>https://downtherabbithole.nl/programma/kingongolo-kiniata</t>
  </si>
  <si>
    <t>Deze heren uit Kinshasa maken goud met rommel. In hun handen transformeren gerecyclede alledaagse objecten in veelzijdige instrumenten voor explosieve punky elektronica met een likje afropop. Kin'Gongolo Kiniata zijn vaandeldragers van de nieuwe Congolese muziek: geijkt op traditie, en met gestrekte vuist richting een verpletterend nieuw geluid. Op het podium geven ze een stem aan de bruisende straten van Kinshasa in de vorm van opruiende nummers over armoede, oorlog en overleving. When life gives you lemons? Deze supergroep maakt er revolutionaire feestmuziek van.
Foto door Mustache Muhanya</t>
  </si>
  <si>
    <t>These gentlemen from Kinshasa turn junk into gold. In their hands, recycled everyday objects transform into versatile instruments for explosive punky electronics with a touch of Afropop. Kin'Gongolo Kiniata are the flag bearers of the new Congolese music: rooted in tradition, with a raised fist towards a groundbreaking new sound. On stage, they give a voice to the vibrant streets of Kinshasa through provocative songs about poverty, war, and survival. When life gives you lemons? This supergroup turns them into revolutionary party music.
Photo by Mustache Muhanya</t>
  </si>
  <si>
    <t>{"Instagram": "https://www.instagram.com/kingongolokiniata/?hl=en", "Spotify": "https://open.spotify.com/artist/7zfl0DQa6Ds6AsB1OQBM54?si=T05J5ia1TrqhZy31lMcyMw"}</t>
  </si>
  <si>
    <t>Harmony-woven folk-pop from Rotterdam.</t>
  </si>
  <si>
    <t>Bossa Nova</t>
  </si>
  <si>
    <t>Pop/Folk</t>
  </si>
  <si>
    <t>https://wearelumii.com/</t>
  </si>
  <si>
    <t>https://open.spotify.com/artist/4YVmec1RYeLcalC4yvHv2T</t>
  </si>
  <si>
    <t>Their intimate and ethereal vocal harmonies set them apart, making them a promising act in the European indie scene.</t>
  </si>
  <si>
    <t>https://downtherabbithole.nl/programma/lumi</t>
  </si>
  <si>
    <t>Ze kwamen bovendrijven via TikTok en Insta, beklommen het podium op Noorderslag 2025, werkten het vaderlandse clubcircuit af en tourden door Europa, zowel op eigen titel als met artiesten als Abby Sage, Flyte en MARO. En dat alles met slechts een handjevol intieme poptracks op hun palmares, waarvoor ze wel al bijna de 250.000 streams aantikken. Niet slecht voor twee studenten aan de Rotterdamse muziekopleiding Codarts. Maar snappen doe je het helemaal, zodra Claudia en Loeki hun hemelse harmony folkzang op je loslaten.</t>
  </si>
  <si>
    <t>They surfaced via TikTok and Insta, took the stage at Noorderslag 2025, worked their way through the national club circuit, and toured Europe, both on their own and with artists like Abby Sage, Flyte, and MARO. And all of this with just a handful of intimate pop tracks to their name, which have already racked up nearly 250,000 streams. Not bad for two students from Rotterdam's Codarts music academy. But it all makes perfect sense once Claudia and Loeki unleash their heavenly harmony folk vocals on you.</t>
  </si>
  <si>
    <t>{"Instagram": "https://www.instagram.com/wearelumii/?hl=en", "YouTube": "https://www.youtube.com/@wearelumii", "Spotify": "https://open.spotify.com/artist/4YVmec1RYeLcalC4yvHv2T?si=nwWZTAzpQf-6qe9eEx5Y5Q", "Website": "https://wearelumii.com/"}</t>
  </si>
  <si>
    <t>Mall Grab b2b Narciss</t>
  </si>
  <si>
    <t>Dual forces igniting techno alchemy</t>
  </si>
  <si>
    <t>House/Techno</t>
  </si>
  <si>
    <t>Mall Grab and Narciss bring a dynamic back-to-back set, blending far-out house and obscure techno with melodic grooves, creating an electrifying dancefloor experience.</t>
  </si>
  <si>
    <t>https://www.mallgrab.world/</t>
  </si>
  <si>
    <t>https://open.spotify.com/artist/7jEmLGxzh2RuOwdj96tlyL</t>
  </si>
  <si>
    <t>This pairing promises a high-energy and genre-blending performance, perfect for fans of innovative and seamless DJ collaborations.</t>
  </si>
  <si>
    <t>https://downtherabbithole.nl/programma/mall-grab-b2b-narciss</t>
  </si>
  <si>
    <t>Met melodieuze grooves als raakvlak gaan Mall Grab en Narciss schouder aan schouder de strijd achter de decks aan. Daarbij dans jij er met de winst vandoor, want dat deze dj/producers aan elkaar gewaagd zijn is nogal zacht uitgedrukt. De far-out house die Narciss serveert, pongt Mall Grab moeiteloos terug met obscure techno en andersom. Liefhebbers weten allang waar ze straks moeten zijn, maar wie nog nooit de magie van een b2b-set on fire heeft meegemaakt, kan zich geen beter debuut wensen.
Foto door Capture Charles</t>
  </si>
  <si>
    <t>With melodic grooves as their common ground, Mall Grab and Narciss go head-to-head behind the decks. And you come out as the winner, because saying these DJ/producers are evenly matched is quite the understatement. The far-out house that Narciss delivers is effortlessly volleyed back by Mall Grab with obscure techno, and vice versa. Enthusiasts already know where they need to be, but for those who have never experienced the magic of a back-to-back set on fire, there couldn't be a better debut to witness.
Photo by Capture Charles</t>
  </si>
  <si>
    <t>{"Instagram": "https://www.instagram.com/narcissssssssssss/?hl=en", "Facebook": "https://www.facebook.com/stillmallgrab/", "YouTube": "https://www.youtube.com/@itsnarciss", "Spotify": "https://open.spotify.com/artist/7jEmLGxzh2RuOwdj96tlyL?si=yw7a1InyQM2Nsm62jHv2tw", "Website": "https://www.mallgrab.world/"}</t>
  </si>
  <si>
    <t>Malou</t>
  </si>
  <si>
    <t>Improvisational italo-house and synth-driven beats that demand more Malou.</t>
  </si>
  <si>
    <t>italohouse</t>
  </si>
  <si>
    <t>[using festival bio due to a lack of publicly available data] Previously, she turned Beuningen inside out with a set full of bold beats. In the meantime, this Utrecht-based artist stood back-to-back with David Vunk, warmed up Paradiso for DJ HEARTSTRING, and took her guaranteed packed FUTURO parties from NAR to EKKO. Always without a musical roadmap, Malou embraces the adventure of improvisation, blessed with a love for (italo)house and synths. With that, she playfully layers sounds on top of each other, until you've forgotten everything else and only want one thing: more Malou!
Image by Elske Nissen</t>
  </si>
  <si>
    <t>NOT ON SPOTIFY</t>
  </si>
  <si>
    <t>Malou is a Utrecht-based artist known for her dynamic and improvisational approach to music, blending italo-house and synth-driven sounds. With a reputation for electrifying live performances, she has shared the stage with notable names like David Vunk and DJ HEARTSTRING, and has hosted her popular FUTURO parties at renowned venues such as NAR and EKKO. Her sets are characterized by bold beats and playful layering, creating an immersive experience that leaves audiences craving more.</t>
  </si>
  <si>
    <t>https://downtherabbithole.nl/programma/malou</t>
  </si>
  <si>
    <t>Previously, she turned Beuningen inside out with a set full of bold beats. In the meantime, this Utrecht-based artist stood back-to-back with David Vunk, warmed up Paradiso for DJ HEARTSTRING, and took her guaranteed packed FUTURO parties from NAR to EKKO. Always without a musical roadmap, Malou embraces the adventure of improvisation, blessed with a love for (italo)house and synths. With that, she playfully layers sounds on top of each other, until you've forgotten everything else and only want one thing: more Malou!
Image by Elske Nissen</t>
  </si>
  <si>
    <t>{"Instagram": "https://www.instagram.com/rnalou/", "SoundCloud": "https://soundcloud.com/rnalou"}</t>
  </si>
  <si>
    <t>The Mary Wallopers</t>
  </si>
  <si>
    <t>Rebels Reviving Irish Folk Fire</t>
  </si>
  <si>
    <t>Folk/Traditional Irish</t>
  </si>
  <si>
    <t>The Mary Wallopers are an Irish folk group known for their modern take on traditional Irish ballads, blending humor and social commentary into their music.</t>
  </si>
  <si>
    <t>https://www.marywallopers.com/</t>
  </si>
  <si>
    <t>https://open.spotify.com/artist/7aLfd5azGVKmim6H38mZk2</t>
  </si>
  <si>
    <t>The Mary Wallopers are celebrated for their lively performances and ability to connect with audiences, making them a standout act in the contemporary folk scene.</t>
  </si>
  <si>
    <t>https://downtherabbithole.nl/programma/the-mary-wallopers</t>
  </si>
  <si>
    <t>{"Instagram": "https://www.instagram.com/marywallopers/", "Facebook": "https://www.facebook.com/marywallopers/", "YouTube": "https://www.youtube.com/channel/UCXiepMEW-gDVnARydII_caA", "Spotify": "https://open.spotify.com/artist/7aLfd5azGVKmim6H38mZk2?si=RB1DliXzQtKNGYzuIKlGLw", "Website": "https://www.marywallopers.com/"}</t>
  </si>
  <si>
    <t>Midnight Generation</t>
  </si>
  <si>
    <t>Fusing retro disco-funk grooves with modern electronic energy, Midnight Generation creates an irresistible sound for the dance floor.</t>
  </si>
  <si>
    <t>Disco/Funk/Electronic</t>
  </si>
  <si>
    <t>Mexico</t>
  </si>
  <si>
    <t>Midnight Generation is a Mexican band known for their infectious blend of disco, funk, and electronic music. Their vibrant sound and energetic performances have earned them a growing international following.</t>
  </si>
  <si>
    <t>https://open.spotify.com/artist/4CKIGHCZRzNoiNDSaW5eaq</t>
  </si>
  <si>
    <t>Midnight Generation's music combines the nostalgic essence of 70s disco and funk with contemporary electronic production, resulting in a fresh and danceable sound. Their dynamic live shows and retro-inspired grooves make them a standout act in the modern music scene.</t>
  </si>
  <si>
    <t>https://downtherabbithole.nl/programma/midnight-generation</t>
  </si>
  <si>
    <t>{"Instagram": "https://www.instagram.com/midnightgeneration/", "Facebook": "https://www.facebook.com/MidnightGenerationBand", "YouTube": "https://www.youtube.com/@midnightgeneration2668", "Spotify": "https://open.spotify.com/artist/4CKIGHCZRzNoiNDSaW5eaq?si=vPw6hTy6QHiHPqBbNrd9vg", "Website": "https://www.midnightgeneration.com/"}</t>
  </si>
  <si>
    <t>Mind Enterprises</t>
  </si>
  <si>
    <t>Retro grooves, future-proof moves.</t>
  </si>
  <si>
    <t>Electronic/Italo Disco</t>
  </si>
  <si>
    <t>Italy</t>
  </si>
  <si>
    <t>Mind Enterprises is the musical project of Italian producer Andrea Tirone, known for blending retro Italo disco influences with modern electronic production.</t>
  </si>
  <si>
    <t>https://mindenterprises.co.uk/</t>
  </si>
  <si>
    <t>https://open.spotify.com/artist/5pN1DJhPFDKso4OtC0QhnB</t>
  </si>
  <si>
    <t>Mind Enterprises has been praised for their infectious grooves and retro-modern aesthetic, making their music highly danceable and appealing to fans of nostalgic yet innovative sounds.</t>
  </si>
  <si>
    <t>https://downtherabbithole.nl/programma/mind-enterprises</t>
  </si>
  <si>
    <t>Welcome to the Costa della Musica, where sun-kissed cocktail shakers showcase their skills to the rhythm of italodisco. Thanks to Mind Enterprises, the Turin-based producer duo Andrea Tirone and Roberto Conigliaro, a new generation of club-going sand, sea, and sun worshippers is being introduced to the irresistible sound of shiny synthesizer beats, groovy disco basslines, and cheerful melodies filled with summery soundbites. Shake your booty in style and smoothly groove away on the Campari-soaked dance floor until you can't even say soda anymore. This is how you glide mindfully into the Italo heaven.</t>
  </si>
  <si>
    <t>{"Instagram": "https://www.instagram.com/mindenterprises/?hl=en", "Facebook": "https://www.facebook.com/MindEnterprises/", "Twitter": "https://x.com/mindenterprises?lang=en", "YouTube": "https://www.youtube.com/channel/UCpE50CyHDRADlphWnusZcFg", "Spotify": "https://open.spotify.com/artist/5pN1DJhPFDKso4OtC0QhnB?si=FFpWTohJRj2lYGAS7JrIiA", "Website": "https://mindenterprises.co.uk/"}</t>
  </si>
  <si>
    <t>Moxes</t>
  </si>
  <si>
    <t>A passionate DJ who connects with his audience through a dynamic blend of house, trance, garage, and progressive beats.</t>
  </si>
  <si>
    <t>[using festival bio due to a lack of publicly available data] Whether he's spinning his sets at an obscure club night, during Glitch Festival in Malta, or on home turf at ADE or DGTL, Moxes loves the booth, but above all, he loves his audience. If he could, he'd dive right into the crowd while mixing. That might be a technical challenge, so this hyper-passionate DJ lets his heart speak through beats. Stringing together sexy house, heavy trance, gritty garage, and fresh progressive is Moxes' way of embracing his greatest love: the bouncing crowd on the dance floor.</t>
  </si>
  <si>
    <t>Moxes is a high-energy DJ known for his ability to seamlessly blend genres like sexy house, heavy trance, gritty garage, and fresh progressive. His performances are characterized by a deep connection with his audience, prioritizing the dance floor experience above all else. With appearances at notable events like Glitch Festival, ADE, and DGTL, Moxes demonstrates a commitment to both technical skill and crowd engagement.</t>
  </si>
  <si>
    <t>https://downtherabbithole.nl/programma/moxes</t>
  </si>
  <si>
    <t>Of hij zijn sets nu op een obscure clubavond, tijdens Glitch Festival op Malta of in een thuiswedstrijd op ADE of DGTL door de speakers jaagt; Moxes houdt van de booth, maar vooral van zijn publiek. Daar zou hij het liefst al mixend induiken. Dat is technisch een uitdaging, dus laat deze hypergepassioneerde dj zijn hart spreken met beats. Sexy house, dikke trance, gruizige garage en frisse progressive aaneenrijgen, dat is Moxes' manier om te knuffelen met zijn grootste liefde: de stuiterende menigte op de dansvloer.</t>
  </si>
  <si>
    <t>Whether he's spinning his sets at an obscure club night, during Glitch Festival in Malta, or on home turf at ADE or DGTL, Moxes loves the booth, but above all, he loves his audience. If he could, he'd dive right into the crowd while mixing. That might be a technical challenge, so this hyper-passionate DJ lets his heart speak through beats. Stringing together sexy house, heavy trance, gritty garage, and fresh progressive is Moxes' way of embracing his greatest love: the bouncing crowd on the dance floor.</t>
  </si>
  <si>
    <t>{"Instagram": "https://www.instagram.com/moxes__/", "SoundCloud": "https://soundcloud.com/moxesss"}</t>
  </si>
  <si>
    <t>Naaz: The Sky Knows I Exist</t>
  </si>
  <si>
    <t>Boundless voice, limitless indie folk.</t>
  </si>
  <si>
    <t>indie folk</t>
  </si>
  <si>
    <t>https://open.spotify.com/artist/736HGQRGr9rjG4VmmSpkz8</t>
  </si>
  <si>
    <t>https://downtherabbithole.nl/programma/naaz-the-sky-knows-i-exist</t>
  </si>
  <si>
    <t>{"Instagram": "https://www.instagram.com/bitsofnaaz/", "YouTube": "https://www.youtube.com/channel/UCilC4jwHpPnfi_70F3Zy0Mw", "Spotify": "https://open.spotify.com/artist/736HGQRGr9rjG4VmmSpkz8?si=JVmZWWWgR3aMA-SEJaLovg", "Website": "https://www.bitsofnaaz.com/"}</t>
  </si>
  <si>
    <t>De Nachtwacht</t>
  </si>
  <si>
    <t>Retro soul meets Dutch indie glow</t>
  </si>
  <si>
    <t>NL indiepop/softrock</t>
  </si>
  <si>
    <t>De Nachtwacht is a Dutch band led by Jiri Taihuttu, formerly known as Jiri11 in the hip-hop scene, now exploring a blend of Dutch-language indiepop and 70s-inspired soft rock.</t>
  </si>
  <si>
    <t>https://open.spotify.com/artist/3Sd7vfg45nJIesPsjvyFgp</t>
  </si>
  <si>
    <t>De Nachtwacht represents an impressive transformation for Jiri Taihuttu, showcasing his versatility and ability to bridge genres with a nostalgic yet modern sound.</t>
  </si>
  <si>
    <t>https://downtherabbithole.nl/programma/de-nachtwacht</t>
  </si>
  <si>
    <t>Relax, Rembrandt. De Nachtwacht heeft net zo weinig met schilderijen te maken als met hiphop, het genre waarin frontman Jiri Taihuttu groot werd, als Jiri11. Dat was toen, nu geeft de geboren Limburger zijn innerlijke singer-songwriter de vrije teugel, gitaar in de aanslag en omringd door vier medebandleden die samen met hem een brug slaan tussen Nederlandstalige indiepop en de softrock van de jaren 70. En hoe. Deze spectaculaire make-over wordt niet voor niets als meesterwerk in de dop ontvangen.</t>
  </si>
  <si>
    <t>Relax, Rembrandt. The Night Watch has as little to do with paintings as it does with hip-hop, the genre in which frontman Jiri Taihuttu, known as Jiri11, made his name. That was then. Now, the Limburg-born artist lets his inner singer-songwriter run free, guitar in hand, surrounded by four bandmates who together bridge the gap between Dutch indie pop and the soft rock of the '70s. And how. This spectacular transformation is rightly being hailed as a masterpiece in the making.</t>
  </si>
  <si>
    <t>{"Instagram": "https://www.instagram.com/denachtwacht_/", "Spotify": "https://open.spotify.com/artist/3Sd7vfg45nJIesPsjvyFgp?si=0L_kkDaTSeq4MHGmzP-PYw"}</t>
  </si>
  <si>
    <t>Nederlands Philharmonisch</t>
  </si>
  <si>
    <t>One of the Netherlands' premier orchestras, known for its dynamic performances and diverse repertoire.</t>
  </si>
  <si>
    <t>Classical</t>
  </si>
  <si>
    <t>The Nederlands Philharmonisch Orkest (Netherlands Philharmonic Orchestra) is a leading Dutch orchestra, celebrated for its performances of classical and operatic works. Based in Amsterdam, it regularly collaborates with the Dutch National Opera and performs at renowned venues like the Concertgebouw.</t>
  </si>
  <si>
    <t>https://open.spotify.com/artist/4QgPqeSKYHNxkaWJAtHQX4</t>
  </si>
  <si>
    <t>The Nederlands Philharmonisch Orkest is a cornerstone of the Dutch classical music scene, delivering powerful interpretations of both traditional and contemporary compositions. Its collaborations with the Dutch National Opera and performances in prestigious venues highlight its artistic excellence.</t>
  </si>
  <si>
    <t>https://downtherabbithole.nl/programma/nederlands-philharmonisch</t>
  </si>
  <si>
    <t>{"Instagram": "https://www.instagram.com/nederlandsphilharmonisch/", "Website": "https://orkest.nl/nederlands-philharmonisch/"}</t>
  </si>
  <si>
    <t>Panic Shack</t>
  </si>
  <si>
    <t>High-energy punk rockers delivering sharp, witty anthems with a DIY ethos.</t>
  </si>
  <si>
    <t>Punk Rock/Indie Rock</t>
  </si>
  <si>
    <t>Panic Shack is a Cardiff-based punk band known for their raw energy, sharp lyrics, and unapologetic attitude. Their music blends punchy riffs, catchy hooks, and a DIY spirit, earning them a growing reputation in the UK punk scene.</t>
  </si>
  <si>
    <t>https://open.spotify.com/artist/26HCuM5PamldoaHII5Ifxc</t>
  </si>
  <si>
    <t>Panic Shack's music is a fiery mix of punk rock and indie energy, characterized by their witty, socially conscious lyrics and electrifying live performances. Their unapologetic style and DIY ethos have made them a standout act in the UK punk revival.</t>
  </si>
  <si>
    <t>https://downtherabbithole.nl/programma/panic-shack</t>
  </si>
  <si>
    <t>It's great that the current punk revival gives plenty of space to the female gaze, and one of the finest examples of this is undoubtedly Panic Shack. Four girls and one guy, known as party animals through and through, but in their guitar tracks spiced with electronics, they also take a stand against toxic behaviors like sexism and unwanted advances. Above all, the Welsh band from Cardiff narrates everyday female struggles, set against a backdrop of roaring riffs and pounding rhythms, with a cheerful bubblegum dress sense to top it off.
Image by Ren Faulkner</t>
  </si>
  <si>
    <t>{"Instagram": "https://www.instagram.com/panicshack/", "Facebook": "https://www.facebook.com/panicshack/?locale=en_GB", "YouTube": "https://www.youtube.com/@panicshack?app=desktop", "Spotify": "https://open.spotify.com/artist/26HCuM5PamldoaHII5Ifxc?si=YoEwnlDbRVKLuLMw2m9NrQ", "Website": "https://www.panicshack.com/"}</t>
  </si>
  <si>
    <t>Paradise Bangkok Molam International Band</t>
  </si>
  <si>
    <t>Thai traditions reborn in funky fusion</t>
  </si>
  <si>
    <t>Molam/Psychedelic/World Music</t>
  </si>
  <si>
    <t>Thailand</t>
  </si>
  <si>
    <t>Paradise Bangkok Molam International Band is a Thai group that blends traditional Molam music with modern elements like funk and dub, creating a unique and vibrant sound that has gained international recognition.</t>
  </si>
  <si>
    <t>https://open.spotify.com/artist/1cBpduQulXQHJaj9m0RYS8</t>
  </si>
  <si>
    <t>Their innovative fusion of traditional Thai music with contemporary genres has been praised for its authenticity and energy, making them a standout act in the world music scene.</t>
  </si>
  <si>
    <t>https://downtherabbithole.nl/programma/paradise-bangkok-molam-international-band</t>
  </si>
  <si>
    <t>The Isaan region in Thailand is the birthplace of molam, a unique genre that combines Thai folk with psychedelic funk. Led by DJ Maft Sai, The Paradise Bangkok Molam International Band has been putting this relatively unknown genre on the map for over a decade. PBMIB's adventurous mix of funk, rock, electronic, folk, and psychedelia transcends borders and is gaining an increasingly larger stage: the Thai gentlemen have already opened for Damon Albarn and can be heard in the third season of 'The White Lotus'.</t>
  </si>
  <si>
    <t>{"Instagram": "https://www.instagram.com/paradisebangkok/?hl=en", "Facebook": "https://www.facebook.com/paradisebangkokmolaminternationalband", "YouTube": "https://www.youtube.com/channel/UCsVducNTFCs3jxz0yYPlglQ", "Spotify": "https://open.spotify.com/artist/1cBpduQulXQHJaj9m0RYS8?si=p_fJuouwS8CCNlj2k-T34g"}</t>
  </si>
  <si>
    <t>Peaches</t>
  </si>
  <si>
    <t>Provocative electroclash artist blending feminist themes with bold, genre-defying sounds.</t>
  </si>
  <si>
    <t>Electroclash/Electronic</t>
  </si>
  <si>
    <t>Peaches is a Canadian musician and performance artist known for her provocative lyrics, boundary-pushing performances, and genre-defying blend of electroclash, punk, and electronic music. Her influential works, including the iconic album 'The Teaches of Peaches,' have cemented her as a feminist icon in music.</t>
  </si>
  <si>
    <t>https://open.spotify.com/artist/1gkSl4XpHIHI4I1WQbfXOE</t>
  </si>
  <si>
    <t>Peaches' fearless approach to music combines raw, sexually charged lyrics with experimental electronic and punk sounds, making her a trailblazer in the electroclash movement. Her live performances are celebrated for their theatricality and unapologetic empowerment.</t>
  </si>
  <si>
    <t>https://downtherabbithole.nl/programma/peaches</t>
  </si>
  <si>
    <t>Muziek mag niet politiek zijn? Juist wel, helemaal nu de mentale wereldklok gestaag doortikt naar de Totale Teloorgang. Beroepsrebel Peaches houdt opnieuw flink huis met 'No Lube So Rude', een plaat vol venijnige humor, seks, wijsheid; kortom alles waar conservatieve spruitjesvreters bang voor zijn. Maar vergeet niet dat achter al die strijdbaarheid een begenadigd musicus schuilt, die samenwerkte met giganten als Iggy Pop en Daft Punk, en haar en jouw woede laat uitbarsten in waanzinnige electroclash. Je hebt een stem, dus schreeuw mee met Peaches.</t>
  </si>
  <si>
    <t>{"Instagram": "https://www.instagram.com/peachesnisker", "Facebook": "https://www.facebook.com/officialpeaches", "YouTube": "https://www.youtube.com/peachestv", "Spotify": "https://open.spotify.com/artist/1gkSl4XpHIHI4I1WQbfXOE?si=Px3UH3zqS5W1qdqxOIZ32Q", "Website": "https://www.teachesofpeaches.com/"}</t>
  </si>
  <si>
    <t>Two Shell</t>
  </si>
  <si>
    <t>Pioneering a futuristic blend of UK bass, experimental club sounds, and hyperpop aesthetics.</t>
  </si>
  <si>
    <t>Electronic/Experimental/Hyperpop</t>
  </si>
  <si>
    <t>Two Shell is a London-based electronic music duo known for their innovative fusion of UK bass, experimental club music, and hyperpop influences. Their enigmatic presence and forward-thinking productions have garnered critical acclaim and a growing fanbase.</t>
  </si>
  <si>
    <t>https://open.spotify.com/artist/4mcHKwboFDmpDBQ4fiOrf3</t>
  </si>
  <si>
    <t>Two Shell's music is a cutting-edge exploration of UK bass and experimental club sounds, infused with hyperpop elements and a playful yet futuristic aesthetic. Their ability to push genre boundaries has made them a standout act in the electronic music scene.</t>
  </si>
  <si>
    <t>https://downtherabbithole.nl/programma/two-shell</t>
  </si>
  <si>
    <t>Box thinkers always struggle with Two Shell, the electronic music duo from London. Umbrella terms like dance or electronica are just as anonymous as the duo themselves, but anyone who looks under the hood will find so many components that merely listing them is dizzying. Let alone the way Two Shell pieces everything together, integrates it, and then deconstructs it into one addictive whole, moving from future garage and breakbeat through dancehall, big beat, and jungle to techno, post-dubstep, and hyperpop. Gold.
Image by Yushy</t>
  </si>
  <si>
    <t>{"Instagram": "https://www.instagram.com/twoshell/?hl=nl", "YouTube": "https://www.youtube.com/channel/UC9YAMHes3t0kfpzeAeXa5WA", "Spotify": "https://open.spotify.com/artist/4mcHKwboFDmpDBQ4fiOrf3?si=-HYR0fERSHCjSxSUm1pI9Q", "Website": "https://shell.tech/"}</t>
  </si>
  <si>
    <t>Westside Cowboy</t>
  </si>
  <si>
    <t>Manchester's rootsy indie rock renegades</t>
  </si>
  <si>
    <t>Indie Rock/Roots Rock</t>
  </si>
  <si>
    <t>Westside Cowboy is an English band formed in the iconic Johnny Roadhouse Music shop in Manchester, known for its rich musical heritage. This quartet of young musicians has already made waves with their rootsy indie rock, earning a spot at Glastonbury 2025.</t>
  </si>
  <si>
    <t>https://www.westsidecowboy.com/</t>
  </si>
  <si>
    <t>https://open.spotify.com/artist/5LfO4rbJarBvHjB34mU9m2</t>
  </si>
  <si>
    <t>With their origins tied to a legendary music shop and a sound rooted in indie and roots rock, Westside Cowboy seems poised to capture attention on major stages. Their early booking at Glastonbury hints at significant potential.</t>
  </si>
  <si>
    <t>https://downtherabbithole.nl/programma/westside-cowboy</t>
  </si>
  <si>
    <t>Soms twinkelen alle sterren precies jouw kant op. Zo werd de Engelse band Westside Cowboy opgericht in de legendarische muziekwinkel Johnny Roadhouse Music in Manchester. Daar shoppen klanten als Sir Paul McCartney en Noel Gallagher, maar ook ontelbare aanstormende muzikanten die hier hun eerste tweedehands instrumenten kochten. Karma van onschatbare waarde dus voor dit kwartet jonge honden, dat met een vuistvol rootsy indierock al meteen op Glastonbury 2025 geboekt werd. Gewoon de poolster strak in de gaten houden, dan kom je vanzelf in de Groene Heuvels.  
Foto door Charlie Barclay Harris</t>
  </si>
  <si>
    <t>{"Instagram": "https://www.instagram.com/westsidecowboyyy/", "Twitter": "https://x.com/westsidecowboyy", "YouTube": "https://www.youtube.com/@westsidecowboy", "Spotify": "https://open.spotify.com/artist/5LfO4rbJarBvHjB34mU9m2?si=6JgCXoUpTSeALmUXivqb0g", "Website": "https://www.westsidecowboy.com/"}</t>
  </si>
  <si>
    <t>Amaliah b2b NIKS</t>
  </si>
  <si>
    <t>Two decks, one unstoppable groove.</t>
  </si>
  <si>
    <t>REX</t>
  </si>
  <si>
    <t>Amaliah and NIKS are two UK-based DJs known for their dynamic back-to-back sets, blending house and techno with a focus on high-energy grooves and diverse influences.</t>
  </si>
  <si>
    <t>https://open.spotify.com/artist/5AAsEhGqZPvRhe423mdfN9</t>
  </si>
  <si>
    <t>Amaliah b2b NIKS deliver electrifying DJ sets that seamlessly blend house and techno, showcasing their deep knowledge of dance music and a commitment to creating inclusive, high-energy club experiences.</t>
  </si>
  <si>
    <t>https://downtherabbithole.nl/programma/amaliah-b2b-niks</t>
  </si>
  <si>
    <t>As co-founder of the label Black Artist Database, London-based NIKS provides a platform for production talent of color. Take, for example, the fantastic series of compilations under the name 'Synergy,' brimming with creative club bangers. Fellow Londoner Amaliah shines on the first installment with a gritty hybrid of tribal house and UK funky. Both artists regularly team up behind the decks to set British clubs ablaze. With their iconic UK rave sound, they effortlessly conquer dance floors worldwide. Talk about synergy.
Image Amaliah: Harriet Taylor, image NIKS: Ollie Trench</t>
  </si>
  <si>
    <t>{"Instagram": "https://www.instagram.com/niks_bad/", "Spotify": "https://open.spotify.com/artist/5AAsEhGqZPvRhe423mdfN9?si=FkB3uJ06QticeppYovei2g"}</t>
  </si>
  <si>
    <t>Ash Lauryn</t>
  </si>
  <si>
    <t>A passionate voice for underground dance music, blending Detroit house roots with modern global sounds.</t>
  </si>
  <si>
    <t>House/Deep House</t>
  </si>
  <si>
    <t>Ash Lauryn is a Detroit-born DJ, writer, and advocate for underground dance music, known for her deep house sets and her influential blog 'Underground and Black,' which highlights the contributions of Black artists in electronic music.</t>
  </si>
  <si>
    <t>https://open.spotify.com/artist/1DAJGebgIA7OjVy2umBB8g</t>
  </si>
  <si>
    <t>Ash Lauryn's deep house sets are rooted in Detroit's rich musical legacy, combining soulful grooves with a contemporary edge. Her work as a DJ and writer has positioned her as a key voice in advocating for diversity and authenticity in electronic music.</t>
  </si>
  <si>
    <t>https://downtherabbithole.nl/programma/ash-lauryn</t>
  </si>
  <si>
    <t>{"Instagram": "https://www.instagram.com/ash_lauryn_/", "Spotify": "https://open.spotify.com/artist/1DAJGebgIA7OjVy2umBB8g?si=1U7lIPaLRjiTdqWEi76seA", "SoundCloud": "https://soundcloud.com/ashlauryn"}</t>
  </si>
  <si>
    <t>BELLA</t>
  </si>
  <si>
    <t>Tech-house titan igniting dance floors.</t>
  </si>
  <si>
    <t>tech-house</t>
  </si>
  <si>
    <t>[using festival bio due to a lack of publicly available data] Long before BELLA broke through as the new DJ talent of the Dutch house scene, she was secretly tinkering with her own club tracks. Sharing the stage with Irish house institution Sally C finally opened the doors for her to unleash her own bangers into the world. Acclaimed releases like "Note To Self" are tech-house gems featuring energetic vocal samples, rolling grooves, and massive synth sections. It all comes together into house music that commands respect, especially when she strings together grandiose sets that quite literally make you feel like the dance floor is taking off.</t>
  </si>
  <si>
    <t>https://open.spotify.com/artist/5GwSwlEJFFjdpIHYPQ6qdy</t>
  </si>
  <si>
    <t>female</t>
  </si>
  <si>
    <t>https://downtherabbithole.nl/programma/bella</t>
  </si>
  <si>
    <t>Long before BELLA broke through as the new DJ talent of the Dutch house scene, she was secretly tinkering with her own club tracks. Sharing the stage with Irish house institution Sally C finally opened the doors for her to unleash her own bangers into the world. Acclaimed releases like "Note To Self" are tech-house gems featuring energetic vocal samples, rolling grooves, and massive synth sections. It all comes together into house music that commands respect, especially when she strings together grandiose sets that quite literally make you feel like the dance floor is taking off.</t>
  </si>
  <si>
    <t>{"Instagram": "https://www.instagram.com/bellaincapslock/", "Facebook": "https://www.facebook.com/bellaburenmusic/?locale=nl_NL", "Spotify": "https://open.spotify.com/artist/5GwSwlEJFFjdpIHYPQ6qdy?si=zk4GH7CBQXaKmw4JHc0uaQ", "SoundCloud": "https://soundcloud.com/bellaincapslock"}</t>
  </si>
  <si>
    <t>Byron Yeates</t>
  </si>
  <si>
    <t>Queer beats, poetic dancefloor journeys</t>
  </si>
  <si>
    <t>[using festival bio due to a lack of publicly available data] His name evokes associations with the historical literary giants Byron and Yeats, but Byron Yeates is making history in his own right as a DJ/producer and label owner. Base of operations: Berlin. Techno, you might assume, but the Irish-born artist approaches things with a bit more nuance. His mission is to honor the queer roots of electronic dance music. So, techno and house, but not solely the original versions from Detroit and Chicago. Progressive variations like trance and breaks also find their way into his sets, which alternate between playful and intensely serious.</t>
  </si>
  <si>
    <t>https://open.spotify.com/artist/4Pt24uijuBP8PsTmE62liN</t>
  </si>
  <si>
    <t>male</t>
  </si>
  <si>
    <t>https://downtherabbithole.nl/programma/byron-yeates</t>
  </si>
  <si>
    <t>His name evokes associations with the historical literary giants Byron and Yeats, but Byron Yeates is making history in his own right as a DJ/producer and label owner. Base of operations: Berlin. Techno, you might assume, but the Irish-born artist approaches things with a bit more nuance. His mission is to honor the queer roots of electronic dance music. So, techno and house, but not solely the original versions from Detroit and Chicago. Progressive variations like trance and breaks also find their way into his sets, which alternate between playful and intensely serious.</t>
  </si>
  <si>
    <t>{"Instagram": "https://www.instagram.com/byronyeates/", "Facebook": "https://www.facebook.com/byronyeates/", "YouTube": "http://www.youtube.com/channel/UCMRh5X_oaxV_KScw362aIhw", "Spotify": "https://open.spotify.com/artist/4Pt24uijuBP8PsTmE62liN?si=sXCEzmWjRq2vaEK9bWtuAg", "SoundCloud": "https://soundcloud.com/byronyeates"}</t>
  </si>
  <si>
    <t>Ciel</t>
  </si>
  <si>
    <t>Where beats collide and soar.</t>
  </si>
  <si>
    <t>Electronic</t>
  </si>
  <si>
    <t>Ciel is a Toronto-based DJ and producer known for her eclectic and genre-blending approach to electronic music, often incorporating elements of house, techno, and breakbeat into her sets and productions.</t>
  </si>
  <si>
    <t>https://open.spotify.com/artist/1Rv2Pete1cFEKlDYk0hjWl</t>
  </si>
  <si>
    <t>Ciel's innovative fusion of house, techno, and breakbeat, combined with her advocacy for inclusivity in electronic music, has earned her a reputation as a forward-thinking and dynamic artist in the underground dance scene.</t>
  </si>
  <si>
    <t>https://downtherabbithole.nl/programma/ciel</t>
  </si>
  <si>
    <t>{"Instagram": "https://www.instagram.com/ciel_dj/", "Facebook": "https://www.facebook.com/ciel.dj/", "YouTube": "https://www.youtube.com/channel/UCJ9PSKUCbHnUXHdKA8CKZkw", "Spotify": "https://open.spotify.com/artist/1Rv2Pete1cFEKlDYk0hjWl?si=tGX56gfITP6UHFxl4j0h-Q", "SoundCloud": "https://soundcloud.com/ciel_dj\u202c\u202c", "Website": "https://ciel.club/"}</t>
  </si>
  <si>
    <t>Croatian Amor (live)</t>
  </si>
  <si>
    <t>Ethereal soundscapes blending ambient textures with experimental electronic elements.</t>
  </si>
  <si>
    <t>Ambient/Experimental Electronic</t>
  </si>
  <si>
    <t>Denmark</t>
  </si>
  <si>
    <t>Croatian Amor is the project of Danish artist Loke Rahbek, known for crafting atmospheric and emotive electronic music that explores themes of intimacy, technology, and human connection. His work often features a blend of ambient textures, glitchy beats, and manipulated vocals, creating a unique and immersive sonic experience.</t>
  </si>
  <si>
    <t>https://open.spotify.com/artist/67QjO1hSxmYnra5p51qjig</t>
  </si>
  <si>
    <t>Croatian Amor's music is a deeply immersive exploration of ambient and experimental electronic soundscapes, often characterized by its emotive depth, intricate production, and innovative use of vocal manipulation. The project has garnered critical acclaim for its ability to evoke a sense of intimacy and introspection while pushing the boundaries of electronic music.</t>
  </si>
  <si>
    <t>https://downtherabbithole.nl/programma/croatian-amor-live</t>
  </si>
  <si>
    <t>In the twilight zone between pop, ambient, and club, you quickly find the light in the music of Croatian Amor. With deeply resonant bangers, the solo project of Danish musician Loke Rahbek is here to move and touch. The new release, *All Worlds*, a reunion with fellow countrymen from Lust For Youth, is an electronic ode to summer. After all, the festival season is just as much about sunny hedonism as it is about deeper reflections and summer melancholy, especially once that orange-red sun has slipped below the horizon.</t>
  </si>
  <si>
    <t>{"Instagram": "https://www.instagram.com/amortheworld/", "YouTube": "https://www.youtube.com/channel/UC226vTwGK3zrNxZluak45WQ", "Spotify": "https://open.spotify.com/artist/67QjO1hSxmYnra5p51qjig?si=P3EbeWxqQbi3vUVwCTlMZg", "SoundCloud": "https://soundcloud.com/croatianamor"}</t>
  </si>
  <si>
    <t>Doppelgang</t>
  </si>
  <si>
    <t>Dual beats, double the disco.</t>
  </si>
  <si>
    <t>[using festival bio due to a lack of publicly available data] No, you're not seeing double, even though the playful sets of identical twins Doppelgang sound twice as good. Their sultry mix of house, disco, and italo reveals how perfectly in sync brothers Sander and Maurice de Graaf are. Anyone who has set foot in Lowlands' ecstatic queer club Adonis knows that making a festival crowd sweat with dance pleasure is their specialty. The dynamic duo pulls it off just as effortlessly in Amsterdam's nightlife as they do at electrifying parties in the best international clubs.  
Image by: Mark Loopstra</t>
  </si>
  <si>
    <t>https://open.spotify.com/artist/7qMfBiPQUiM8ct9S9XUGDc</t>
  </si>
  <si>
    <t>https://downtherabbithole.nl/programma/doppelgang</t>
  </si>
  <si>
    <t>No, you're not seeing double, even though the playful sets of identical twins Doppelgang sound twice as good. Their sultry mix of house, disco, and italo reveals how perfectly in sync brothers Sander and Maurice de Graaf are. Anyone who has set foot in Lowlands' ecstatic queer club Adonis knows that making a festival crowd sweat with dance pleasure is their specialty. The dynamic duo pulls it off just as effortlessly in Amsterdam's nightlife as they do at electrifying parties in the best international clubs.  
Image by: Mark Loopstra</t>
  </si>
  <si>
    <t>{"Instagram": "https://www.instagram.com/doppelgang_/", "Spotify": "https://open.spotify.com/artist/7qMfBiPQUiM8ct9S9XUGDc?si=eHcTX7BRTUaBBYprltCatQ", "SoundCloud": "https://soundcloud.com/doppelgangmusic"}</t>
  </si>
  <si>
    <t>Dr. Rubinstein</t>
  </si>
  <si>
    <t>A master of hypnotic acid techno with a magnetic stage presence.</t>
  </si>
  <si>
    <t>Techno/Acid</t>
  </si>
  <si>
    <t>Russia</t>
  </si>
  <si>
    <t>Dr. Rubinstein is a Berlin-based DJ known for her electrifying acid techno sets, blending hypnotic grooves with high-energy beats. She has gained a strong reputation for her dynamic performances at renowned clubs and festivals worldwide.</t>
  </si>
  <si>
    <t>https://open.spotify.com/artist/1BtTJEY0g3bUVSsFC6Bnvz</t>
  </si>
  <si>
    <t>Dr. Rubinstein's mastery of acid techno, combined with her ability to create immersive, high-energy sets, has made her a standout figure in the global electronic music scene. Her performances are celebrated for their raw intensity and seamless flow, earning her a loyal following.</t>
  </si>
  <si>
    <t>https://downtherabbithole.nl/programma/dr-rubinstein</t>
  </si>
  <si>
    <t>{"Instagram": "https://www.instagram.com/dr.rubinstein666/", "Facebook": "https://www.facebook.com/technorubinstein/", "Spotify": "https://open.spotify.com/artist/1BtTJEY0g3bUVSsFC6Bnvz?si=YdEVMkYxQmaOojqi8cQ9qw", "SoundCloud": "https://soundcloud.com/dr-rubinstein"}</t>
  </si>
  <si>
    <t>EYCEE</t>
  </si>
  <si>
    <t>Club Alchemist Weaving Bass-Driven Magic</t>
  </si>
  <si>
    <t>[using festival bio due to a lack of publicly available data] Amsterdam's club scene owes much to Alexandros Christodoulides, better known as EYCEE. Tirelessly spearheading countless club nights, most recently the vibrant PARDON, named after his record label of the same name. When EYCEE takes control of the CDJs, whether in public spaces or on various radio stations, his sets naturally exude a sweaty club vibe, with house, garage, UK funky, hip-hop, and bass setting the tone. Music he also creates himself, which inevitably finds its way onto his USB stick. Full circle.
Image by: Imaikl</t>
  </si>
  <si>
    <t>https://open.spotify.com/artist/3kTzplM88T19xZTtQrfSVB</t>
  </si>
  <si>
    <t>https://downtherabbithole.nl/programma/eycee</t>
  </si>
  <si>
    <t>Amsterdam's club scene owes much to Alexandros Christodoulides, better known as EYCEE. Tirelessly spearheading countless club nights, most recently the vibrant PARDON, named after his record label of the same name. When EYCEE takes control of the CDJs, whether in public spaces or on various radio stations, his sets naturally exude a sweaty club vibe, with house, garage, UK funky, hip-hop, and bass setting the tone. Music he also creates himself, which inevitably finds its way onto his USB stick. Full circle.
Image by: Imaikl</t>
  </si>
  <si>
    <t>{"Instagram": "https://www.instagram.com/eyceepayme/", "Spotify": "https://open.spotify.com/artist/3kTzplM88T19xZTtQrfSVB?si=A5YY6k0gRVi_Ke_Z1oz2aQ", "SoundCloud": "https://soundcloud.com/eyceesounds"}</t>
  </si>
  <si>
    <t>Faustin</t>
  </si>
  <si>
    <t>Queer rhythms, transcendent journeys, infinite loops.</t>
  </si>
  <si>
    <t>[using festival bio due to a lack of publicly available data] Patience is a virtue. Just ask Faustin, who gradually unfolds his DJ sets into a musical fairytale that intoxicates you with happiness. Driven by endlessly looping Afro percussion, the Rotterdam native of Antillean descent weaves a narrative nourished by house, techno, ambient, and trance. This makes Faustin a sought-after name, a proud representative of the queer community, regularly featured at Operator Radio and in clubs like POING, SPIELRAUM, and Club RAUM, while venues like Kunsthal and Worm have hosted his audiovisual performances.</t>
  </si>
  <si>
    <t>https://downtherabbithole.nl/programma/faustin</t>
  </si>
  <si>
    <t>Geduld is een schone zaak. Vraag maar aan Faustin, die zijn dj-sets langzaam maar zeker ontvouwt tot een muzikale sprookjeswereld die je dronken maakt van geluk. Voortgestuwd door eindeloos voortslingerende afropercussie spint de Rotterdammer van Antilliaanse bloede een verhaal dat gevoed wordt door house, techno, ambient en trance. Dat maakt Faustin tot een graag geboekte naam, die als vertegenwoordiger van de queergemeenschap vaste prik was/is bij Operator Radio en in clubs als POING, SPIELRAUM en Club RAUM, terwijl Kunsthal en Worm zijn audiovisuele performances hostten.</t>
  </si>
  <si>
    <t>Patience is a virtue. Just ask Faustin, who gradually unfolds his DJ sets into a musical fairytale that intoxicates you with happiness. Driven by endlessly looping Afro percussion, the Rotterdam native of Antillean descent weaves a narrative nourished by house, techno, ambient, and trance. This makes Faustin a sought-after name, a proud representative of the queer community, regularly featured at Operator Radio and in clubs like POING, SPIELRAUM, and Club RAUM, while venues like Kunsthal and Worm have hosted his audiovisual performances.</t>
  </si>
  <si>
    <t>{"Instagram": "https://www.instagram.com/faustin_______/", "SoundCloud": "https://soundcloud.com/faustinnnn"}</t>
  </si>
  <si>
    <t>Gizem</t>
  </si>
  <si>
    <t>Cinematic Soundscapes for the Soul</t>
  </si>
  <si>
    <t>https://downtherabbithole.nl/programma/gizem</t>
  </si>
  <si>
    <t>{"Instagram": "https://www.instagram.com/gizemoz__/", "SoundCloud": "https://soundcloud.com/gizemoz", "Website": "https://gizemoz.com/?utm_source=ig&amp;amp;utm_medium=social&amp;amp;utm_content=link_in_bio&amp;amp;fbclid=PAZXh0bgNhZW0CMTEAc3J0YwZhcHBfaWQMMjU2MjgxMDQwNTU4AAGnPngFhIS1_KRukUQlcDrKSHlqCbaXg28ogYVdvRMZ9cRq1sbn7OJG5kIRfkA_aem_gbgAWvutGLvvN50r0ui6_g"}</t>
  </si>
  <si>
    <t>French singer-songwriter blending emotive lyrics with electronic and pop influences.</t>
  </si>
  <si>
    <t>Pop/Electronic</t>
  </si>
  <si>
    <t>https://open.spotify.com/artist/2Q2XGzX5uJ2KOcW1G1qT9p</t>
  </si>
  <si>
    <t>https://downtherabbithole.nl/programma/herve</t>
  </si>
  <si>
    <t>{"Instagram": "https://www.instagram.com/___herve/", "SoundCloud": "https://soundcloud.com/superons"}</t>
  </si>
  <si>
    <t>jannah</t>
  </si>
  <si>
    <t>Raw beats, fevered grooves, untamed intensity</t>
  </si>
  <si>
    <t>https://downtherabbithole.nl/programma/jannah</t>
  </si>
  <si>
    <t>Voor haar platenarsenaal dwaalt jannah door de vuigste krochten van de underground. De uit Utrecht afkomstige dj toont haar liefde voor de rauwere kantjes van house, electro, acid en techno in snoeiharde sets. Soms klinkt het alsof de knallende beats instorten onder hun eigen gewicht en dat is precies de bedoeling. Daarbij draait jannah grauwe texturen en hitsige grooves met kunde aan elkaar, waardoor haar grandioze sets alle kanten opgaan. Dit is diepe en wilde clubmuziek, vol progressieve randjes en verslavend geluidsgeweld.</t>
  </si>
  <si>
    <t>{"Instagram": "https://www.instagram.com/jannah__dj/", "SoundCloud": "https://soundcloud.com/jannah_de_roos"}</t>
  </si>
  <si>
    <t>Kareem Ali (live)</t>
  </si>
  <si>
    <t>Futuristic grooves, spiritual depths, live.</t>
  </si>
  <si>
    <t>Electronic/House</t>
  </si>
  <si>
    <t>Kareem Ali is an electronic music producer and live performer based in the USA, known for his unique blend of deep house, techno, and jazz influences. His music often explores themes of futurism and spirituality, creating immersive and thought-provoking soundscapes.</t>
  </si>
  <si>
    <t>https://open.spotify.com/artist/4Uhgu5miW68A3eqRl26xtf</t>
  </si>
  <si>
    <t>Kareem Ali's innovative fusion of deep house, techno, and jazz elements results in a sound that is both atmospheric and rhythmically engaging, earning him recognition for his forward-thinking approach to electronic music.</t>
  </si>
  <si>
    <t>https://downtherabbithole.nl/programma/kareem-ali-live</t>
  </si>
  <si>
    <t>This trumpeter, DJ, and producer has spent his entire life gazing at the stars. As a child, Kareem Ali dreamed of becoming a rocket scientist. Now, he creates cosmic deep house, inspired by Afrofuturist icons like Sun Ra and the cult techno group Drexciya. However, his greatest role model is Miles Davis, the genius who rewrote all the rules of jazz. This inspired Kareem Ali to merge his trumpet playing on stage with electronic music. Thanks to this unique blend of stratospheric house and analog sounds, this hyper-productive musician is regarded as the most promising rising talent in the American club scene.</t>
  </si>
  <si>
    <t>{"Instagram": "https://www.instagram.com/kmx15/", "YouTube": "https://www.youtube.com/channel/UCmEpIrko97DMmnmIfsqFuaw", "Spotify": "https://open.spotify.com/artist/4Uhgu5miW68A3eqRl26xtf?si=WeBEUg1aTBiZkeX-d3HdcQ", "SoundCloud": "https://soundcloud.com/kmx19"}</t>
  </si>
  <si>
    <t>Luna Ludmila (live)</t>
  </si>
  <si>
    <t>Layered grooves for endless journeys.</t>
  </si>
  <si>
    <t>dubby house and techno</t>
  </si>
  <si>
    <t>https://open.spotify.com/artist/7LjIBhsyzQT0amw65MeZP2</t>
  </si>
  <si>
    <t>https://downtherabbithole.nl/programma/luna-ludmila-live</t>
  </si>
  <si>
    <t>Laagjes, daar houdt Luna Ludmila van. Als dj, maar ook in een livesetup. Of dat nu met een audiovisuele performance is, of solo achter een kluitje elektronica. In die laatste hoedanigheid bezoekt ze REX, voor een ervaring die aanvoelt als het dansvloerequivalent van een wellnesssessie. Afgestudeerd in compositie en geluidsontwerp weet de Utrechtse precies hoe ze al je zintuigen naar een hoogtepunt kan masseren: met dubby house- en technogrooves, omgeploegd met complexe ritmes en uit ambient en downtempo gefiguurzaagde sfeerstructuren. Goed voor een eindeloze danstrip.</t>
  </si>
  <si>
    <t>{"Instagram": "https://www.instagram.com/luna_ludmila_/?hl=nl", "Facebook": "https://www.facebook.com/LunaLudmila/?locale=nl_NL", "YouTube": "https://www.youtube.com/channel/UCjbi0bsJRlgwC3WulaDX5mA", "Spotify": "https://open.spotify.com/artist/7LjIBhsyzQT0amw65MeZP2?si=-QAbcM_bQf6xGrz65G16iA", "SoundCloud": "https://soundcloud.com/lunaludmila"}</t>
  </si>
  <si>
    <t>Lysah b2b Kim Josefine</t>
  </si>
  <si>
    <t>Double the Disco, Twice the Groove</t>
  </si>
  <si>
    <t>disco</t>
  </si>
  <si>
    <t>[using festival bio due to a lack of publicly available data] The living proof that two is better than one can be found in the duo Lysah and Kim Josefine. These enthusiasts of everything that boogies, swings, and grooves bring double the dance fun by sharing their disco-heavy record collection. Both have already made their summery sounds known in Nijmegen, with Lysah curating uplifting tracks at Open Source Radio, while Kim Josefine, as a resident at PAAK Vinyl Bar, digs for black gold. One thing is clear: four ears hear more than two.
Photo of Lysah by: Elske Nissen&amp;nbsp;</t>
  </si>
  <si>
    <t>https://downtherabbithole.nl/programma/lysah-b2b-kim-josefine</t>
  </si>
  <si>
    <t>The living proof that two is better than one can be found in the duo Lysah and Kim Josefine. These enthusiasts of everything that boogies, swings, and grooves bring double the dance fun by sharing their disco-heavy record collection. Both have already made their summery sounds known in Nijmegen, with Lysah curating uplifting tracks at Open Source Radio, while Kim Josefine, as a resident at PAAK Vinyl Bar, digs for black gold. One thing is clear: four ears hear more than two.
Photo of Lysah by: Elske Nissen&amp;nbsp;</t>
  </si>
  <si>
    <t>{"Instagram": "https://www.instagram.com/lysah.dj/", "SoundCloud": "https://soundcloud.com/lysah-dj"}</t>
  </si>
  <si>
    <t>Massimiliano Pagliara</t>
  </si>
  <si>
    <t>A master of blending house, disco, and techno with a vintage touch.</t>
  </si>
  <si>
    <t>House/Disco/Techno</t>
  </si>
  <si>
    <t>Massimiliano Pagliara is an Italian DJ and producer known for his eclectic mix of house, disco, and techno, often infused with retro and cosmic influences. Based in Berlin, he has released critically acclaimed albums on labels like Live At Robert Johnson and is a regular performer at renowned clubs such as Panorama Bar.</t>
  </si>
  <si>
    <t>https://open.spotify.com/artist/6rr6POhpIL25CJFS3o3Dym</t>
  </si>
  <si>
    <t>Massimiliano Pagliara's music seamlessly blends the grooves of classic disco and house with the forward-thinking edge of Berlin's electronic scene. His productions are celebrated for their warm, analog textures and dancefloor appeal, making him a standout in the underground electronic music world.</t>
  </si>
  <si>
    <t>https://downtherabbithole.nl/programma/massimiliano-pagliara</t>
  </si>
  <si>
    <t>In de vuigste uithoekjes van techno dreigt het plezier soms te verdwijnen, alsof clubben stiekem strafwerk is. In die zin komt Massimiliano Pagliara tot je redding. De in Berlijn woonachtige Italiaan snapt dat zelfs de strafste set mag sprankelen met toefjes italo, deephouse en pop. Veelzijdigheid zit in het bloed van deze synthesizer-aficionado, die de analoge warmte van weleer in keiharde beukers kan verwerken. Zijn geliefde albums zijn een nostalgische luistertrip tussen hard en zacht, terwijl zijn beweeglijke sets het tempo altijd lekker hoog houden.
Beeld door: Alessio Boni</t>
  </si>
  <si>
    <t>In the grimiest corners of techno, the joy sometimes threatens to vanish, as if clubbing is secretly a punishment. In this sense, Massimiliano Pagliara comes to your rescue. The Berlin-based Italian understands that even the toughest set can sparkle with touches of italo, deep house, and pop. Versatility runs in the blood of this synthesizer aficionado, who can infuse the analog warmth of yesteryear into hard-hitting bangers. His beloved albums are a nostalgic listening journey between hard and soft, while his dynamic sets always keep the tempo delightfully high.
Image by: Alessio Boni</t>
  </si>
  <si>
    <t>{"Instagram": "https://www.instagram.com/massimilianopagliara_/", "Facebook": "https://www.facebook.com/pagliara.massimiliano/", "YouTube": "https://www.youtube.com/channel/UCGnIRXiHSJ1DRQMU8xQBs9w Spotify artist: ", "Spotify": "https://open.spotify.com/artist/6rr6POhpIL25CJFS3o3Dym?si=MwOJ1o_2SwWDMYL1Db_ZIw", "SoundCloud": "https://soundcloud.com/massimilianopagliara"}</t>
  </si>
  <si>
    <t>Innovative producer blending Miami bass with experimental electronic textures.</t>
  </si>
  <si>
    <t>Electronic/Experimental</t>
  </si>
  <si>
    <t>https://open.spotify.com/artist/3qOGTt4eTeEkCn3efhAGu2</t>
  </si>
  <si>
    <t>https://downtherabbithole.nl/programma/nick-leon-live</t>
  </si>
  <si>
    <t>{"Instagram": "https://www.instagram.com/nicknoexit/", "Facebook": "https://www.facebook.com/nicknoexit/", "Twitter": "https://x.com/nickleon", "YouTube": "https://www.youtube.com/channel/UCjlgMKG9PbsvwDLlbsB4oZg", "Spotify": "https://open.spotify.com/artist/3qOGTt4eTeEkCn3efhAGu2?si=jkmVwGx8TPeL-Vrc4dxOOA", "SoundCloud": "https://soundcloud.com/NICKLEON"}</t>
  </si>
  <si>
    <t>PAAK Listening Club</t>
  </si>
  <si>
    <t>Vinyl reveries in pristine hi-fi.</t>
  </si>
  <si>
    <t>https://open.spotify.com/artist/2vUpX2Zq1DBdCHuoEnmzkK</t>
  </si>
  <si>
    <t>https://downtherabbithole.nl/programma/paak-listening-club</t>
  </si>
  <si>
    <t>{"Instagram": "https://www.instagram.com/paak.vinyl/", "Facebook": "https://www.facebook.com/paak.vinylbar", "YouTube": "https://www.youtube.com/c/marinirecords", "Spotify": "https://open.spotify.com/artist/2vUpX2Zq1DBdCHuoEnmzkK?si=jbw2EfKPSFazWrfX2BdxCA", "SoundCloud": "https://soundcloud.com/thebeat3fm/the-beat-mix-mario-marini", "Website": "https://www.paakvinylbar.com/"}</t>
  </si>
  <si>
    <t>Pariah</t>
  </si>
  <si>
    <t>Atmospheric architect of underground techno.</t>
  </si>
  <si>
    <t>Pariah is the moniker of London-based electronic music producer Arthur Cayzer, known for his intricate and atmospheric techno productions. He is also one-half of the duo Karenn, alongside Blawan, and has released music on the renowned R&amp;S Records.</t>
  </si>
  <si>
    <t>https://open.spotify.com/artist/0ZCB95QaI7Tgdnb2yU2iNg</t>
  </si>
  <si>
    <t>Pariah crafts deeply textured and emotive electronic music, blending ambient soundscapes with precise techno rhythms. His work on R&amp;S Records and collaborations as part of Karenn have solidified his reputation in the underground electronic scene.</t>
  </si>
  <si>
    <t>https://downtherabbithole.nl/programma/pariah</t>
  </si>
  <si>
    <t>{"Instagram": "https://www.instagram.com/pariah_uk/", "Facebook": "https://www.facebook.com/uk.pariah/?locale=nl_NL", "Spotify": "https://open.spotify.com/artist/0ZCB95QaI7Tgdnb2yU2iNg?si=a0y6bWdiTLWTPhqZMK3zhA", "SoundCloud": "https://soundcloud.com/pariah_uk\u202c"}</t>
  </si>
  <si>
    <t>Rival Consoles (live)</t>
  </si>
  <si>
    <t>Innovative electronic artist blending emotive soundscapes with intricate rhythms.</t>
  </si>
  <si>
    <t>Rival Consoles is the moniker of London-based electronic producer Ryan Lee West, known for his emotive and atmospheric compositions that blend analog synthesizers with intricate rhythms. His works have been released on the renowned Erased Tapes label, and he is celebrated for his immersive live performances.</t>
  </si>
  <si>
    <t>https://open.spotify.com/artist/05lIUgmmsmTX2N9dCKc8rC</t>
  </si>
  <si>
    <t>Rival Consoles crafts deeply emotive electronic music, combining analog synth textures with complex rhythms to create atmospheric soundscapes. His critically acclaimed releases on Erased Tapes and captivating live shows have solidified his reputation as a leading figure in modern electronic music.</t>
  </si>
  <si>
    <t>https://downtherabbithole.nl/programma/rival-consoles-live</t>
  </si>
  <si>
    <t>Some electronic music invites you to close your eyes and drift away to distant places. Ryan Lee West creates that sound as Rival Consoles: atmospheric immersions into uncharted territory. For nearly twenty years, he has been fine-tuning synthesizers and drum machines to perfect his cinematic ambient techno. With his latest album, *Landscape from Memory*, you can hear what he describes as his renewed love for composing. He translates this captivating electronic sound into immersive live shows that tantalize your senses.
Image by: Sisi Nipannan</t>
  </si>
  <si>
    <t>{"Instagram": "https://www.instagram.com/rivalconsoles/", "Facebook": "https://www.facebook.com/rivalconsoles/mentions/", "Spotify": "https://open.spotify.com/artist/05lIUgmmsmTX2N9dCKc8rC?si=_HC5s2ZtTqy4u5rNGZcWKw", "SoundCloud": "https://soundcloud.com/rivalconsoles"}</t>
  </si>
  <si>
    <t>Tom Trago presents: Ignorance</t>
  </si>
  <si>
    <t>Blissful beats in a chaotic world</t>
  </si>
  <si>
    <t>dance</t>
  </si>
  <si>
    <t>https://downtherabbithole.nl/programma/tom-trago-presents-ignorance</t>
  </si>
  <si>
    <t>{"Instagram": "https://www.instagram.com/tomtrago/", "Facebook": "https://www.facebook.com/tom.trago/", "Spotify": "https://open.spotify.com/artist/2vUpX2Zq1DBdCHuoEnmzkK?si=2PMeY8kzRm2lA5Hk2NErLQ", "SoundCloud": "https://soundcloud.com/tomtrago"}</t>
  </si>
  <si>
    <t>upsammy b2b gyrofield</t>
  </si>
  <si>
    <t>Boundary-breaking beats, limitless sonic depths</t>
  </si>
  <si>
    <t>drum-and-bass</t>
  </si>
  <si>
    <t>https://open.spotify.com/artist/2yKb2sD6dystFr0tTmSu2X</t>
  </si>
  <si>
    <t>https://downtherabbithole.nl/programma/upsammy-b2b-gyrofield</t>
  </si>
  <si>
    <t>{"Instagram": "https://www.instagram.com/upsammy_/", "Facebook": "https://www.facebook.com/gyrofield/", "Spotify": "https://open.spotify.com/artist/2yKb2sD6dystFr0tTmSu2X?si=VeDKv99URaSv-G4CyS2ErA", "SoundCloud": "https://soundcloud.com/gyrofieldmusic"}</t>
  </si>
  <si>
    <t>Vasco</t>
  </si>
  <si>
    <t>Master of Groove and Duality</t>
  </si>
  <si>
    <t>[using festival bio due to a lack of publicly available data] Vasco seeks balance in everything. In his musical universe, soulful smoothness stands shoulder to shoulder with the grittier bangers from the underground. As the mastermind behind the infamous Weerd parties in Utrecht, this musical jack-of-all-trades knows better than anyone how to curate energetic club nights for the more adventurous dancers. The boundless musical taste of this DJ, record collector, and promoter effortlessly translates into electrifying sets behind the decks. In these, you can expect a series of warm house tracks to suddenly give way to darker moments. Balance is everything.</t>
  </si>
  <si>
    <t>https://downtherabbithole.nl/programma/vasco</t>
  </si>
  <si>
    <t>Vasco zoekt in alles de balans op. In zijn muzikale universum staat soulvolle smoothness schouder aan schouder met de ruwere bangers uit de underground. Als brein achter de infameuze Weerd-feestjes in Utrecht weet deze muzikale alleskunner als geen ander energierijke clubnachten voor de meer avontuurlijke dansers te cureren. De grenzeloze muzieksmaak van deze dj, platenverzamelaar en promotor vertaalt zich achter de decks moeiteloos naar opzwepende sets. Daarin mag je na een reeks warme houseplaten ook opeens wat duisterdere momenten verwachten. Balans is alles.</t>
  </si>
  <si>
    <t>Vasco seeks balance in everything. In his musical universe, soulful smoothness stands shoulder to shoulder with the grittier bangers from the underground. As the mastermind behind the infamous Weerd parties in Utrecht, this musical jack-of-all-trades knows better than anyone how to curate energetic club nights for the more adventurous dancers. The boundless musical taste of this DJ, record collector, and promoter effortlessly translates into electrifying sets behind the decks. In these, you can expect a series of warm house tracks to suddenly give way to darker moments. Balance is everything.</t>
  </si>
  <si>
    <t>{"Instagram": "https://www.instagram.com/vascovlasveld/", "SoundCloud": "https://soundcloud.com/vasco-vlasveld"}</t>
  </si>
  <si>
    <t>Vegyn</t>
  </si>
  <si>
    <t>Innovative producer blending experimental electronic textures with emotional depth.</t>
  </si>
  <si>
    <t>Vegyn is a London-based electronic music producer known for his genre-defying soundscapes, blending glitchy beats, ambient textures, and emotional melodies. He gained recognition for his collaborations with Frank Ocean on albums like 'Blonde' and 'Endless' and has released acclaimed solo projects such as 'Only Diamonds Cut Diamonds'.</t>
  </si>
  <si>
    <t>https://open.spotify.com/artist/5iUnvXddCpOrbWKm7QMr6o</t>
  </si>
  <si>
    <t>Vegyn's intricate production style combines experimental electronic elements with a strong emotional core, earning him acclaim for his solo work and high-profile collaborations with artists like Frank Ocean. His music is characterized by its innovative use of glitch, ambient, and hip-hop influences.</t>
  </si>
  <si>
    <t>https://downtherabbithole.nl/programma/vegyn</t>
  </si>
  <si>
    <t>{"Instagram": "https://www.instagram.com/vegynvegyn/", "Facebook": "https://www.facebook.com/vegyn/", "YouTube": "https://www.youtube.com/@VegynPLZ", "Spotify": "https://open.spotify.com/artist/5iUnvXddCpOrbWKm7QMr6o?si=zpsYx0amR-ysgYC8iEJIcQ", "SoundCloud": "https://soundcloud.com/vegyn"}</t>
  </si>
  <si>
    <t>Verity</t>
  </si>
  <si>
    <t>Boundary-breaker of the underground beat.</t>
  </si>
  <si>
    <t>England</t>
  </si>
  <si>
    <t>https://downtherabbithole.nl/programma/verity</t>
  </si>
  <si>
    <t>Het vergt een fantastische dj om de uiteenlopende clubstijlen uit Londen en omstreken in organische sets te verwerken. Verity doet dat met verve. Moeiteloos springt ze over de grenzen van dubstep, jungle, techno, electro en nog veel vreemdere clubmutaties om de dansvloer uit pure muzikale euforie te laten zweven. Niet alleen achter de decks dartelt deze clubkunstenaar over allerlei grenzen. Ze putte inspiratie uit trips naar Detroit, Engeland en Japan. Die muzikale ontdekkingstochten hoor je terug in haar meesterlijke sets, die alsmaar in beweging zijn en constant blijven knallen.
Beeld door: Clara Franke</t>
  </si>
  <si>
    <t>{"Instagram": "https://www.instagram.com/veritymjackson/", "SoundCloud": "https://soundcloud.com/verity-j"}</t>
  </si>
  <si>
    <t>Zohar</t>
  </si>
  <si>
    <t>Cutting-edge chaos, sculpted in sound.</t>
  </si>
  <si>
    <t>drum-'n-bass</t>
  </si>
  <si>
    <t>[using festival bio due to a lack of publicly available data] If your starting point is surgical drum-'n-bass, you know exactly how deep the blade can cut. Zohar achieves this with insanely abstract club bangers, where the drums ricochet back and forth and the low end just keeps rattling on. It feels as if you're in a pressure chamber and the walls suddenly start closing in on you. This artistic interpretation of boundary-pushing club music is something Zohar pursues not only through their own ZHR label but also with ventures into the world of conceptual sound art and film, exploring the gray area between the club and installation art.
Image by: Leendert</t>
  </si>
  <si>
    <t>https://downtherabbithole.nl/programma/zohar</t>
  </si>
  <si>
    <t>If your starting point is surgical drum-'n-bass, you know exactly how deep the blade can cut. Zohar achieves this with insanely abstract club bangers, where the drums ricochet back and forth and the low end just keeps rattling on. It feels as if you're in a pressure chamber and the walls suddenly start closing in on you. This artistic interpretation of boundary-pushing club music is something Zohar pursues not only through their own ZHR label but also with ventures into the world of conceptual sound art and film, exploring the gray area between the club and installation art.
Image by: Leendert</t>
  </si>
  <si>
    <t>{"Instagram": "https://www.instagram.com/zoharzohar_/", "SoundCloud": "https://soundcloud.com/zohar01"}</t>
  </si>
  <si>
    <t>Morning Rave</t>
  </si>
  <si>
    <t>Sunrise beats, soul-stirring grooves.</t>
  </si>
  <si>
    <t>https://downtherabbithole.nl/programma/morning-rave</t>
  </si>
  <si>
    <t>Yoga, klassieke muziek, een fenomenaal bakkie koffie binnen handbereik; in de Groene Heuvels is het altijd heerlijk ontwaken. Ook in de dag- en nachtclub REX begin je elke ochtend relaxed met de Morning Rave, een mellow en mindful kickstart van je festivaldag voor onuitputtelijke nieuwe energie en verbinding met jezelf en elkaar. Eerst brengt een geleide meditatie met stretch- en ademhalingsoefeningen je bij je positieven, waarna je tijdens een bewegingsimprovisatie steeds intenser gaat dansen. Wakker en warm? Dan barst er een euforische rave los, zoals je van Down The Rabbit Hole gewend bent geheel in stijl met alle glitter &amp;amp; glow die daarbij hoort. En je weet: raven is leven.</t>
  </si>
  <si>
    <t>Ahadadream</t>
  </si>
  <si>
    <t>A leading figure in the UK club scene, blending global percussive sounds with cutting-edge electronic beats.</t>
  </si>
  <si>
    <t>The Bizarre</t>
  </si>
  <si>
    <t>Electronic/Club/Global</t>
  </si>
  <si>
    <t>Ahadadream is a London-based DJ and producer known for his vibrant fusion of global percussive rhythms and contemporary electronic music. He is also the co-founder of the More Time Records label, which champions forward-thinking club music.</t>
  </si>
  <si>
    <t>https://open.spotify.com/artist/3SvsaUFZZNgVZYKrcFgzWW</t>
  </si>
  <si>
    <t>Ahadadream's music is a dynamic blend of global percussion influences, such as Afrobeat and UK Funky, with modern electronic production. His work as a DJ and co-founder of More Time Records has made him a key figure in London's club scene, celebrated for pushing the boundaries of dance music.</t>
  </si>
  <si>
    <t>https://downtherabbithole.nl/programma/ahadadream</t>
  </si>
  <si>
    <t>{"Instagram": "https://www.instagram.com/ahadadreamx/?hl=nl", "Twitter": "https://x.com/ahadadream", "YouTube": "https://www.youtube.com/channel/UCziz28lrIA7sv-m-Dg4JtHQ", "Spotify": "https://open.spotify.com/artist/3SvsaUFZZNgVZYKrcFgzWW?si=RpjhP7iUSWOO9ZNGofeAcg", "SoundCloud": "https://soundcloud.com/ahadadream", "Website": "https://www.ahadadream.com/"}</t>
  </si>
  <si>
    <t>Arp Frique (dj-set)</t>
  </si>
  <si>
    <t>A vibrant fusion of Afrobeat, funk, and disco with a modern electronic twist.</t>
  </si>
  <si>
    <t>Afrobeat/Funk/Disco</t>
  </si>
  <si>
    <t>Arp Frique is the musical project of Dutch producer and multi-instrumentalist Niels Nieuborg, blending Afro-Caribbean rhythms, funk, and disco with electronic elements. Known for his energetic live performances and collaborations with international artists, he has gained recognition for his unique sound and vibrant productions.</t>
  </si>
  <si>
    <t>Arp Frique's music is a seamless blend of Afrobeat, funk, and disco, enriched with electronic textures and global influences. His work is celebrated for its infectious grooves and dynamic collaborations, making him a standout in the modern dance music scene.</t>
  </si>
  <si>
    <t>https://downtherabbithole.nl/programma/arp-frique-dj-set</t>
  </si>
  <si>
    <t>BADSISTA</t>
  </si>
  <si>
    <t>Trailblazing Brazilian producer blending electronic beats with bold, genre-defying energy.</t>
  </si>
  <si>
    <t>Electronic/Baile Funk</t>
  </si>
  <si>
    <t>Brazil</t>
  </si>
  <si>
    <t>BADSISTA is a Brazilian DJ and producer known for her innovative approach to electronic music, blending baile funk, techno, and experimental sounds. She has gained international recognition for her high-energy performances and collaborations with prominent artists in the global electronic scene.</t>
  </si>
  <si>
    <t>https://open.spotify.com/artist/0KdLlx7p42yA7aftp3dgpb</t>
  </si>
  <si>
    <t>BADSISTA's unique fusion of baile funk and electronic genres creates a vibrant, high-energy sound that has resonated with audiences worldwide. Her cutting-edge production and dynamic DJ sets have established her as a key figure in Brazil's electronic music scene.</t>
  </si>
  <si>
    <t>https://downtherabbithole.nl/programma/badsista</t>
  </si>
  <si>
    <t>{"Instagram": "https://www.instagram.com/badsista_/", "Facebook": "https://www.facebook.com/badsistaoficial/", "YouTube": "https://www.youtube.com/channel/UCG0jL9s3WUTw5mIHS5-ShCA", "Spotify": "https://open.spotify.com/artist/0KdLlx7p42yA7aftp3dgpb?si=b-0K5OcQT5aV632McolYuQ", "SoundCloud": "https://soundcloud.com/BADSISTA"}</t>
  </si>
  <si>
    <t>Bronka</t>
  </si>
  <si>
    <t>Tropical basslines, Brazilian heat, pure fire.</t>
  </si>
  <si>
    <t>https://open.spotify.com/artist/1xtwX7lilXQmlBoRrOu8md</t>
  </si>
  <si>
    <t>https://downtherabbithole.nl/programma/bronka</t>
  </si>
  <si>
    <t>Zin in wat sub-equatoriale zomervibes? Kom er maar in, Bronka. De wieg van deze goedgeluimde dj/producer stond in het Zuid-Braziliaanse Montes Claros, waar hij ook zijn eerste stappen in de elektronische muziek zette. Inmiddels woont en werkt Bronka in Frankfurt, wat zijn komst naar de Groene Heuvels wel makkelijker maakt, maar zijn set voert je rechtstreeks de Zuid-Amerikaanse clubs in. Een tropische barrage van oerwoudpercussie, Braziliaanse beats, zware bassen, opzwepende baile funk en UK garage, zonodig gekruid met brokjes dance- en hiphophits, compleet met zweetgarantie.</t>
  </si>
  <si>
    <t>{"Instagram": "https://www.instagram.com/madbronka/?hl=nl", "Spotify": "https://open.spotify.com/artist/1xtwX7lilXQmlBoRrOu8md?si=nCvWSPWBTD6yyfrFNBPW_Q", "SoundCloud": "https://soundcloud.com/madbronka"}</t>
  </si>
  <si>
    <t>C.FRIM</t>
  </si>
  <si>
    <t>Global beats, basslines, boundless energy.</t>
  </si>
  <si>
    <t>Electronic/Club</t>
  </si>
  <si>
    <t>C.FRIM is a Melbourne-based DJ and producer known for her eclectic and high-energy sets that blend global club sounds, bass-heavy beats, and experimental electronic music.</t>
  </si>
  <si>
    <t>https://open.spotify.com/artist/2v9k8Q7m0u5wU7WQz1J9hK</t>
  </si>
  <si>
    <t>C.FRIM's dynamic approach to DJing and production incorporates a fusion of global club influences and bass-driven electronic music, creating a vibrant and unpredictable soundscape.</t>
  </si>
  <si>
    <t>https://downtherabbithole.nl/programma/cfrim</t>
  </si>
  <si>
    <t>{"Instagram": "https://www.instagram.com/c.frim/", "SoundCloud": "https://soundcloud.com/c-frim"}</t>
  </si>
  <si>
    <t>DJ Babatr</t>
  </si>
  <si>
    <t>raptor house</t>
  </si>
  <si>
    <t>Venezuela</t>
  </si>
  <si>
    <t>https://open.spotify.com/artist/2VAqLzkNHs0cre3T6i1PHD</t>
  </si>
  <si>
    <t>https://downtherabbithole.nl/programma/dj-babatr</t>
  </si>
  <si>
    <t>{"Instagram": "https://www.instagram.com/djbabatr/", "Facebook": "https://www.facebook.com/DjBabatr/", "Spotify": "https://open.spotify.com/artist/2VAqLzkNHs0cre3T6i1PHD", "SoundCloud": "https://soundcloud.com/dj-babatr", "Website": "https://djbabatr.com/"}</t>
  </si>
  <si>
    <t>DJ Tobzy</t>
  </si>
  <si>
    <t>Afrobeats alchemist igniting global dancefloors</t>
  </si>
  <si>
    <t>afrobeats</t>
  </si>
  <si>
    <t>Nigeria</t>
  </si>
  <si>
    <t>https://open.spotify.com/artist/4Y4FnDPVjDt9aIeSdG3CYr</t>
  </si>
  <si>
    <t>https://downtherabbithole.nl/programma/dj-tobzy</t>
  </si>
  <si>
    <t>{"Instagram": "https://www.instagram.com/djtobzyimolegiwa/", "YouTube": "https://www.youtube.com/channel/UC9s3bgPntAXFoNW0vU9lzDw", "Spotify": "https://open.spotify.com/artist/4Y4FnDPVjDt9aIeSdG3CYr?si=a5mRxKrHQ7S195V1c5evBQ", "SoundCloud": "https://soundcloud.com/platform/dj-tobzy-lagos-street-beat"}</t>
  </si>
  <si>
    <t>DJ Travella</t>
  </si>
  <si>
    <t>Tanzanian producer redefining singeli music with high-energy, experimental beats.</t>
  </si>
  <si>
    <t>Singeli/Electronic</t>
  </si>
  <si>
    <t>Tanzania</t>
  </si>
  <si>
    <t>DJ Travella is a young producer from Dar es Salaam, Tanzania, known for his innovative take on singeli, a high-tempo electronic dance music genre. His tracks blend frenetic beats with experimental soundscapes, pushing the boundaries of traditional East African music.</t>
  </si>
  <si>
    <t>https://open.spotify.com/artist/0PD7wCo7ybcKXouWDCWgfW</t>
  </si>
  <si>
    <t>DJ Travella's unique approach to singeli music combines the genre's signature rapid tempos with experimental electronic elements, creating a fresh and dynamic sound that has garnered attention on the global stage.</t>
  </si>
  <si>
    <t>https://downtherabbithole.nl/programma/dj-travella</t>
  </si>
  <si>
    <t>Like fellow DJ Tobzy, DJ Travella is a welcome guest at Nyege Nyege, the festival and label from Uganda. Travella himself hails from Tanzania, where, as a young upstart in Dar es Salaam, he was captivated by the breakneck rhythms of singeli. With an average of 200-300 beats per minute, singeli is already one of the fastest music genres in the world, but Travella's hyperactive take takes it to the next level: this is singeli on steroids, with distorted synths and samples and relentless, pounding drums that drag you to the dance floor without mercy.</t>
  </si>
  <si>
    <t>{"Instagram": "https://www.instagram.com/dj_travella_mr_mixondo/", "YouTube": "https://www.youtube.com/@djtravellamrmixondo478/featured", "Spotify": "https://open.spotify.com/artist/0PD7wCo7ybcKXouWDCWgfW?si=EF8-xp8pR-STCUOhy3wUHg", "SoundCloud": "https://soundcloud.com/djtravellatz"}</t>
  </si>
  <si>
    <t>FAISAL</t>
  </si>
  <si>
    <t>Groove Architect of Antwerp's Underground</t>
  </si>
  <si>
    <t>https://open.spotify.com/artist/7rGmBEwMg0OJvkd2JhKRV1</t>
  </si>
  <si>
    <t>https://downtherabbithole.nl/programma/faisal</t>
  </si>
  <si>
    <t>{"Instagram": "https://www.instagram.com/faisxl/", "Spotify": "https://open.spotify.com/artist/7rGmBEwMg0OJvkd2JhKRV1?si=vYL2Rb1XSOqaQucnKwsxzg", "SoundCloud": "https://soundcloud.com/FAISAL"}</t>
  </si>
  <si>
    <t>Galecta</t>
  </si>
  <si>
    <t>Afro-Indigenous beats, chaos, and fire.</t>
  </si>
  <si>
    <t>https://downtherabbithole.nl/programma/galecta</t>
  </si>
  <si>
    <t>{"Instagram": "https://www.instagram.com/_galecta/", "SoundCloud": "https://soundcloud.com/user-609294228"}</t>
  </si>
  <si>
    <t>GRCA.</t>
  </si>
  <si>
    <t>Portugal</t>
  </si>
  <si>
    <t>https://open.spotify.com/artist/4zW5u3AQ4L0BMchzGo2xxG</t>
  </si>
  <si>
    <t>https://downtherabbithole.nl/programma/grca</t>
  </si>
  <si>
    <t>De zonovergoten sound van GRCA. heeft roots in Angola en Portugal. In The Bizarre schotelt hij je zijn favoriete batida, tarraxo en afrotech voor, tropische dance die je in bepaalde wijken van Lissabon op elke straathoek hoort. Zijn sets zijn energiek en sensueel tegelijk, met een wolkje weemoed voor de liefhebbers. In mooi Portugees heet dat saudade, de hunkering naar iets dat er niet is. Dat is precies het mooie aan GRCA.: dat nostalgische verlangen komt prachtig tot leven in de fijnste tunes uit zijn platenkoffer.</t>
  </si>
  <si>
    <t>{"Instagram": "https://www.instagram.com/grca._/", "YouTube": "https://www.youtube.com/@grca._offical/featured", "Spotify": "https://open.spotify.com/artist/4zW5u3AQ4L0BMchzGo2xxG?si=_H5O_wzSTtizXyebaLk0TA", "SoundCloud": "https://soundcloud.com/grcantiti"}</t>
  </si>
  <si>
    <t>Hibotep</t>
  </si>
  <si>
    <t>A boundary-pushing artist blending electronic, hip-hop, and East African influences into a unique sonic tapestry.</t>
  </si>
  <si>
    <t>Electronic/Hip-Hop/Experimental</t>
  </si>
  <si>
    <t>Uganda</t>
  </si>
  <si>
    <t>Hibotep is a multidisciplinary artist and DJ from Uganda, known for her innovative fusion of electronic beats, hip-hop, and traditional East African sounds. She has gained recognition for her genre-defying approach and her ability to create immersive musical experiences.</t>
  </si>
  <si>
    <t>https://open.spotify.com/artist/1YK2if73dhMqwsKGSlppRT</t>
  </si>
  <si>
    <t>Hibotep's music stands out for its seamless integration of electronic textures, hip-hop rhythms, and East African musical traditions, creating a sound that is both experimental and deeply rooted in cultural heritage. Her work has been praised for its originality and boundary-pushing creativity.</t>
  </si>
  <si>
    <t>https://downtherabbithole.nl/programma/hibotep</t>
  </si>
  <si>
    <t>KC Sumatra</t>
  </si>
  <si>
    <t>Global grooves, basslines without borders</t>
  </si>
  <si>
    <t>global club sounds</t>
  </si>
  <si>
    <t>[using festival bio due to a lack of publicly available data] KC Sumatra has no issues with exclusivity; on the contrary, the non-binary DJ from the Nijmegen area is known for their global club sounds. Despite their name, they don't draw inspiration from Indonesian music. Instead, they weave American staples like house and techno with a variety of styles from Latin America, Europe, and Africa. From baile funk to UK funky and from gqom to batida, it's a groovy mash-up of wild percussion and heavy basslines. But always with a focus on the tracks.</t>
  </si>
  <si>
    <t>non-binary</t>
  </si>
  <si>
    <t>https://downtherabbithole.nl/programma/kc-sumatra</t>
  </si>
  <si>
    <t>Van eenkennigheid heeft KC Sumatra geen last, integendeel: de non-binaire dj uit de omgeving van Nijmegen staat bekend om diens global club sounds, al put hen daarvoor in weerwil van diens naam niet uit de Indonesische muziekkeuken. Wel vlecht hen Amerikaans basismateriaal als house en techno met tal van stijlen uit Latijns-Amerika, Europa en Afrika. Van baile funk tot UK funky en van gqom tot batida, in een groovy mash-up van wilde percussie en zware bassen. Maar altijd met de focus op de tracks.&amp;nbsp;</t>
  </si>
  <si>
    <t>KC Sumatra has no issues with exclusivity; on the contrary, the non-binary DJ from the Nijmegen area is known for their global club sounds. Despite their name, they don't draw inspiration from Indonesian music. Instead, they weave American staples like house and techno with a variety of styles from Latin America, Europe, and Africa. From baile funk to UK funky and from gqom to batida, it's a groovy mash-up of wild percussion and heavy basslines. But always with a focus on the tracks.</t>
  </si>
  <si>
    <t>{"Instagram": "https://www.instagram.com/kc.sumatra/", "SoundCloud": "https://soundcloud.com/k-c-sumatra-vasquez"}</t>
  </si>
  <si>
    <t>King Kami</t>
  </si>
  <si>
    <t>Bass Queen of Grit and Groove</t>
  </si>
  <si>
    <t>https://open.spotify.com/artist/4Euz6vlPoujB4l6IUpJkdn</t>
  </si>
  <si>
    <t>https://downtherabbithole.nl/programma/king-kami</t>
  </si>
  <si>
    <t>{"Instagram": "https://www.instagram.com/kiingkamii/", "Spotify": "https://open.spotify.com/artist/4Euz6vlPoujB4l6IUpJkdn?si=x3XXcVueRTS8vYja1uxOuw", "SoundCloud": "https://soundcloud.com/kiingkami"}</t>
  </si>
  <si>
    <t>Lamsi</t>
  </si>
  <si>
    <t>Global bass disruptor with Surinamese roots</t>
  </si>
  <si>
    <t>[using festival bio due to a lack of publicly available data] The Amsterdam DJ and producer Lamsi draws from his Surinamese roots with a groundbreaking fusion of grime, Afro-diasporic electronica, kawina rhythms, and deconstructed club. In his wild sets, bouncing bubbling can seamlessly transition into gritty grime, without the energy dropping for even a second. This eclecticism has made this club talent a favorite both at home and abroad. Collaborations with BAMBII, Lunice, and Dutch pride Jarreau Vandal demonstrate that Lamsi can command any dance floor with scorching hot sets that are free to explode in every direction.</t>
  </si>
  <si>
    <t>https://open.spotify.com/artist/6qdxvGWY0xnOmV8ISg6yjJ</t>
  </si>
  <si>
    <t>https://downtherabbithole.nl/programma/lamsi</t>
  </si>
  <si>
    <t>De Amsterdamse dj en producer Lamsi put uit zijn Surinaamse roots met een grensverleggende fusie van grime, Afro-diasporische elektronica, kawina-ritmes en deconstructed club. In zijn wilde sets kan stuiterende bubbling zomaar plaatsmaken voor vunzige grime, zonder dat de energie ook maar een seconde inzakt. Door dat eclecticisme is dit clubtalent geliefd in binnen- en buitenland. Samenwerkingen met BAMBII, Lunice en Nederlandse trots Jarreau Vandal tonen aan dat Lamsi elke dansvloer naar zijn hand kan zetten met stomend hete sets die alle kanten op mogen knallen.</t>
  </si>
  <si>
    <t>The Amsterdam DJ and producer Lamsi draws from his Surinamese roots with a groundbreaking fusion of grime, Afro-diasporic electronica, kawina rhythms, and deconstructed club. In his wild sets, bouncing bubbling can seamlessly transition into gritty grime, without the energy dropping for even a second. This eclecticism has made this club talent a favorite both at home and abroad. Collaborations with BAMBII, Lunice, and Dutch pride Jarreau Vandal demonstrate that Lamsi can command any dance floor with scorching hot sets that are free to explode in every direction.</t>
  </si>
  <si>
    <t>{"Instagram": "https://www.instagram.com/lamsi/", "Facebook": "https://www.facebook.com/lvmsi/?locale=nl_NL", "YouTube": "https://www.youtube.com/@LAMSIMUSIC", "Spotify": "https://open.spotify.com/artist/6qdxvGWY0xnOmV8ISg6yjJ?si=RUxX3ubXTe27LtQbkABKzw", "SoundCloud": "http:// https://soundcloud.com/lvmsi"}</t>
  </si>
  <si>
    <t>Marla Kether (DJ)</t>
  </si>
  <si>
    <t>Soulful grooves from the global pulse</t>
  </si>
  <si>
    <t>https://open.spotify.com/artist/6FkMrtFxVIbhdx0y62sTCU</t>
  </si>
  <si>
    <t>https://downtherabbithole.nl/programma/marla-kether-dj</t>
  </si>
  <si>
    <t>{"Instagram": "https://www.instagram.com/marla_kether/", "Facebook": "https://www.facebook.com/MarlaKetherMusic/?locale=nl_NL", "YouTube": "https://www.youtube.com/marlambemba", "Spotify": "https://open.spotify.com/artist/6FkMrtFxVIbhdx0y62sTCU?si=go5wAX5sT8SNF9jsC5KafA", "SoundCloud": "https://soundcloud.com/marlakether"}</t>
  </si>
  <si>
    <t>NEMS</t>
  </si>
  <si>
    <t>Brooklyn-based rapper known for his gritty lyricism and unapologetic personality.</t>
  </si>
  <si>
    <t>NEMS is a rapper from Brooklyn, New York, celebrated for his raw lyricism, aggressive delivery, and commanding stage presence. He gained recognition through his viral catchphrase 'Bing Bong' and has built a strong following in the underground hip-hop scene.</t>
  </si>
  <si>
    <t>https://open.spotify.com/artist/1GeXvZLXrRF3EaEbaI3qrv</t>
  </si>
  <si>
    <t>NEMS delivers hard-hitting bars with a gritty, no-nonsense style that reflects his Brooklyn roots. His viral catchphrase 'Bing Bong' has brought him mainstream attention, while his music remains rooted in authentic street narratives and sharp lyricism.</t>
  </si>
  <si>
    <t>https://downtherabbithole.nl/programma/nems</t>
  </si>
  <si>
    <t>Rotterdam has always been the Dutch breeding ground for bubbling and other sizzling club music. Nowadays, NEMS is the city's go-to supplier of all those sultry, provocative bangers and irresistible party anthems. The Rotterdam-based DJ is a rising talent who strikes the perfect balance between steamy dancehall, pounding amapiano, fiery afrobeats, and the hardest tracks, especially from female rappers. A recent highlight is her fiery remix of Frenna's "My Love," where his smooth flow is enveloped by hypnotic tribal beats and an overwhelming deep sub-bass.</t>
  </si>
  <si>
    <t>{"Instagram": "https://www.instagram.com/dj.nems/", "Facebook": "https://www.facebook.com/p/DJ-NEMS-100093158812007/", "YouTube": "https://www.youtube.com/@DJNEMS.", "Spotify": "https://open.spotify.com/artist/1GeXvZLXrRF3EaEbaI3qrv?si=MFnmOd8lSQChiuTrc1ZEFQ", "SoundCloud": "https://soundcloud.com/djnems"}</t>
  </si>
  <si>
    <t>Onda Collective</t>
  </si>
  <si>
    <t>Afro-Latin beats, Amsterdam street heat.</t>
  </si>
  <si>
    <t>https://downtherabbithole.nl/programma/onda-collective</t>
  </si>
  <si>
    <t>{"Instagram": "https://www.instagram.com/onda.soundsystem/"}</t>
  </si>
  <si>
    <t>RIDDIMBOX by Rozaly</t>
  </si>
  <si>
    <t>Caribbean chaos, live and unleashed</t>
  </si>
  <si>
    <t>[using festival bio due to a lack of publicly available data] For Rozaly, the exuberant micro-dance genres of the Caribbean are cultural heritage of the highest order. His life mission is to map out all these diverse riddim styles. The archivist/DJ/producer presents the absolute highlights of what he calls "Carnival Ganza": euphoric soca, hyperactive Dennery segment, and libidinous bouyon. The latter style serves as the foundation for his new formation. RIDDIMBOX is a fully improvisational live band featuring disorienting melodies, insane tempos from percussionist Nicolini (Devon Rexi), and electrifying vocals from Amsterdam-based MC Toff Youth.</t>
  </si>
  <si>
    <t>https://downtherabbithole.nl/programma/riddimbox-by-rozaly</t>
  </si>
  <si>
    <t>For Rozaly, the exuberant micro-dance genres of the Caribbean are cultural heritage of the highest order. His life mission is to map out all these diverse riddim styles. The archivist/DJ/producer presents the absolute highlights of what he calls "Carnival Ganza": euphoric soca, hyperactive Dennery segment, and libidinous bouyon. The latter style serves as the foundation for his new formation. RIDDIMBOX is a fully improvisational live band featuring disorienting melodies, insane tempos from percussionist Nicolini (Devon Rexi), and electrifying vocals from Amsterdam-based MC Toff Youth.</t>
  </si>
  <si>
    <t>{"Instagram": "https://www.instagram.com/rozaly.music/", "SoundCloud": "https://soundcloud.com/rozalymusic"}</t>
  </si>
  <si>
    <t>Roda da Holanda</t>
  </si>
  <si>
    <t>Brazilian beats, Dutch carnival spirit</t>
  </si>
  <si>
    <t>https://open.spotify.com/artist/0BJKyd46BPYLHYhDedaQdP</t>
  </si>
  <si>
    <t>https://downtherabbithole.nl/programma/roda-da-holanda</t>
  </si>
  <si>
    <t>{"Instagram": "https://www.instagram.com/rodadaholanda/", "Facebook": "https://www.facebook.com/rodadaholanda/?locale=nl_NL", "Spotify": "https://open.spotify.com/artist/0BJKyd46BPYLHYhDedaQdP?si=CLNDwApjTl25Oe4eNtesUA", "Website": "https://rodadaholanda.com/"}</t>
  </si>
  <si>
    <t>Global grooves, deep cuts, pure vibe.</t>
  </si>
  <si>
    <t>https://downtherabbithole.nl/programma/sese</t>
  </si>
  <si>
    <t>{"Instagram": "https://www.instagram.com/sesemusic_/", "SoundCloud": "https://soundcloud.com/sesealoe?ref=clipboard&amp;amp;p=i&amp;amp;c=1&amp;amp;si=ABE18F38E57944C4971D5D8E81732297&amp;amp;utm_source=clipboard&amp;amp;utm_medium=text&amp;amp;utm_campaign=social_sharing"}</t>
  </si>
  <si>
    <t>Sia Sierra</t>
  </si>
  <si>
    <t>Global grooves, underground flames.</t>
  </si>
  <si>
    <t>[using festival bio due to a lack of publicly available data] From her home base in Enschede, DJ Sia Sierra ignites dance floors with a scorching mix of bouncy ghettotech and Miami bass, electronic baile and baile funk, breakbeats, and Afro-tropical club music, all infused with a raw yet refreshing underground vibe. Exciting, dynamic, high-energy, and ultimately danceable: her blazing hot sets have already set hips in motion at parties like Ghettolicious, festivals like Thuishaven, and stations like Operator Radio, and now continue to sizzle in the exotic ambiance of The Bizarre.</t>
  </si>
  <si>
    <t>https://downtherabbithole.nl/programma/sia-sierra</t>
  </si>
  <si>
    <t>From her home base in Enschede, DJ Sia Sierra ignites dance floors with a scorching mix of bouncy ghettotech and Miami bass, electronic baile and baile funk, breakbeats, and Afro-tropical club music, all infused with a raw yet refreshing underground vibe. Exciting, dynamic, high-energy, and ultimately danceable: her blazing hot sets have already set hips in motion at parties like Ghettolicious, festivals like Thuishaven, and stations like Operator Radio, and now continue to sizzle in the exotic ambiance of The Bizarre.</t>
  </si>
  <si>
    <t>{"Instagram": "https://www.instagram.com/sia.sierra/", "SoundCloud": "https://soundcloud.com/siasierra"}</t>
  </si>
  <si>
    <t>SIM--OJ</t>
  </si>
  <si>
    <t>Club alchemists crafting Dutch pop gold</t>
  </si>
  <si>
    <t>pop</t>
  </si>
  <si>
    <t>https://open.spotify.com/artist/5iTVV4xiBCFr1hLJ1O98GQ</t>
  </si>
  <si>
    <t>https://downtherabbithole.nl/programma/sim-oj</t>
  </si>
  <si>
    <t>{"Instagram": "https://www.instagram.com/sim__oj/", "YouTube": "https://www.youtube.com/channel/UCFi3yu8d_jqnssxzmTIKN9Q", "Spotify": "https://open.spotify.com/artist/5iTVV4xiBCFr1hLJ1O98GQ?si=GNp3HbAgQdWVRdK4yB1rKA", "SoundCloud": "https://soundcloud.com/sim_oj"}</t>
  </si>
  <si>
    <t>Tienson (dj-set)</t>
  </si>
  <si>
    <t>Global grooves, spun with boundless soul</t>
  </si>
  <si>
    <t>Afro-jazz-funk</t>
  </si>
  <si>
    <t>https://open.spotify.com/artist/6NuwXIFcHEYmeu6Tf9BGt8</t>
  </si>
  <si>
    <t>https://downtherabbithole.nl/programma/tienson-dj-set</t>
  </si>
  <si>
    <t>Tienson is een bijzondere jongen en dat is hij. Van huis uit percussionist bij de Amsterdamse afrojazzfunkateers Jungle By Night, maar ook dromerige Nederlandstalige singer-songwriter en rapper, terwijl hij hier aanschuift in de hoedanigheid van dj. Een veelvraat dus, ook in wat hij draait. Sterker nog, op Tiensons muziekkeuze is geen peil te trekken. Met speels gemak breit hij bijvoorbeeld oosterse funk, Braziliaanse drumbreaks, Japanse house, vergeten soul, obscure tropenkolder, nederhop of tig totaal andere genres en stijlen aaneen tot een onvergetelijk wonderlijke muzikale wereldreis.</t>
  </si>
  <si>
    <t>{"Instagram": "https://www.instagram.com/tiens.on/", "Spotify": "https://open.spotify.com/artist/6NuwXIFcHEYmeu6Tf9BGt8?si=pfNaKnO1TIuPA34tUbgTlg", "SoundCloud": "https://soundcloud.com/tienson-smeets"}</t>
  </si>
  <si>
    <t>TURBOLENTA</t>
  </si>
  <si>
    <t>Arabic beats, global grooves, unstoppable fire.</t>
  </si>
  <si>
    <t>https://downtherabbithole.nl/programma/turbolenta</t>
  </si>
  <si>
    <t>{"Instagram": "https://www.instagram.com/turbolenta_leila/", "SoundCloud": "https://soundcloud.com/turbolentaleila"}</t>
  </si>
  <si>
    <t>Yucky</t>
  </si>
  <si>
    <t>Unpredictable beats from a royal rebel.</t>
  </si>
  <si>
    <t>https://downtherabbithole.nl/programma/yucky</t>
  </si>
  <si>
    <t>{"Instagram": "https://www.instagram.com/yuckyshi/", "SoundCloud": "https://soundcloud.com/yuckyshi"}</t>
  </si>
  <si>
    <t>Global grooves, rooted in soul.</t>
  </si>
  <si>
    <t>https://downtherabbithole.nl/programma/yusu</t>
  </si>
  <si>
    <t>{"Instagram": "https://www.instagram.com/ansah.theplugg/", "SoundCloud": "https://soundcloud.com/yusutheplugg"}</t>
  </si>
  <si>
    <t>Yuval Avital</t>
  </si>
  <si>
    <t>A boundary-pushing composer and multimedia artist blending contemporary classical music with innovative visual art.</t>
  </si>
  <si>
    <t>Contemporary Classical/Experimental</t>
  </si>
  <si>
    <t>Yuval Avital is an Italian composer, multimedia artist, and guitarist known for his innovative works that combine contemporary classical music with visual art and multimedia installations. His projects often involve collaborations with diverse communities and traditional musicians, creating immersive and interdisciplinary experiences.</t>
  </si>
  <si>
    <t>https://open.spotify.com/artist/6L7321BIl6E9IB0dit1UQL</t>
  </si>
  <si>
    <t>Yuval Avital's work stands out for its fusion of contemporary classical music with experimental visual art and multimedia elements. His ability to integrate traditional music and community participation into large-scale projects has earned him recognition as a unique and innovative voice in the modern art world.</t>
  </si>
  <si>
    <t>https://downtherabbithole.nl/programma/yuval-avital</t>
  </si>
  <si>
    <t>Yuval Avital understands that a DJ must find the perfect marriage between hard and soft. Behind the decks, this pride of Arnhem delivers a mix of gritty house bangers and ecstatic disco bursting with euphoric vocals. With a raw underground edge layered over soulful, funky grooves, her sets take you back to the roots: the historic warehouse raves in Chicago. Her knack for authentic house music has also taken Yuval Avital to many extraordinary places: using Arnhem as her springboard, she has already graced the CDJs in Panama and Colombia, among others.</t>
  </si>
  <si>
    <t>{"Instagram": "https://www.instagram.com/yuval.avital/", "SoundCloud": "https://soundcloud.com/yuval-avital-72937335"}</t>
  </si>
  <si>
    <t>Sambaworkshop</t>
  </si>
  <si>
    <t>[using festival bio due to a lack of publicly available data] Whether you're as stiff as a board or a ballroom dancer, samba specialist Fabritio Mossel will teach you Brazil's most popular dance in just 30 minutes. The passionate Summer Carnival King 2022 showcases his flashiest footwork daily in The Bizarre, including the moves Mossel picked up in the ultimate samba haven: the Rio de Janeiro Carnival. During this mini-workshop, you'll quickly master the basic samba steps, which you can then show off all weekend long in The Bizarre and exotic surroundings. Smooth!</t>
  </si>
  <si>
    <t>https://downtherabbithole.nl/programma/sambaworkshop</t>
  </si>
  <si>
    <t>Whether you're as stiff as a board or a ballroom dancer, samba specialist Fabritio Mossel will teach you Brazil's most popular dance in just 30 minutes. The passionate Summer Carnival King 2022 showcases his flashiest footwork daily in The Bizarre, including the moves Mossel picked up in the ultimate samba haven: the Rio de Janeiro Carnival. During this mini-workshop, you'll quickly master the basic samba steps, which you can then show off all weekend long in The Bizarre and exotic surroundings. Smooth!</t>
  </si>
  <si>
    <t>Berton</t>
  </si>
  <si>
    <t>Echoes of depth, bass, and wonder</t>
  </si>
  <si>
    <t>RADIATE VI</t>
  </si>
  <si>
    <t>[using festival bio due to a lack of publicly available data] On an adventure at RADIATE VI, you can follow the versatile Berton blindly. As a DJ, the Amsterdam-based Italian captivates the dance floor with techno, dub, and bass, which also makes her a popular resident host at Radio Radio and Radio Raheem. Prefer a softer touch? The fascinating ambient soundscapes of this travel-loving sound artist explore the deeper layers of electronic music and field recordings, where the beauty of the intangible becomes almost tangible. Come and lose yourself in the Forest.
Image by: Caterina Gradi</t>
  </si>
  <si>
    <t>https://downtherabbithole.nl/programma/berton</t>
  </si>
  <si>
    <t>Op avontuur bij RADIATE VI kun je de veelzijdige Berton blindelings volgen. Als dj brengt de geboren Italiaanse uit Amsterdam de dansvloer in vervoering met techno, dub en bass, wat haar bovendien een populaire resident host bij Radio Radio en Radio Raheem maakt. Liever een tandje zachter? De fascinerende ambient soundscapes van de reislustige geluidskunstenaar verkennen de diepere lagen van elektronische muziek en field recordings, daar waar de schoonheid van het ongrijpbare haast tastbaar wordt. Kom ook verdwalen in het Bos.
Beeld door: Caterina Gradi</t>
  </si>
  <si>
    <t>On an adventure at RADIATE VI, you can follow the versatile Berton blindly. As a DJ, the Amsterdam-based Italian captivates the dance floor with techno, dub, and bass, which also makes her a popular resident host at Radio Radio and Radio Raheem. Prefer a softer touch? The fascinating ambient soundscapes of this travel-loving sound artist explore the deeper layers of electronic music and field recordings, where the beauty of the intangible becomes almost tangible. Come and lose yourself in the Forest.
Image by: Caterina Gradi</t>
  </si>
  <si>
    <t>{"Instagram": "https://www.instagram.com/berton.deluxe/", "SoundCloud": "https://soundcloud.com/saraberton"}</t>
  </si>
  <si>
    <t>Camille Maria</t>
  </si>
  <si>
    <t>Grooves for misfits, bangers for all.</t>
  </si>
  <si>
    <t>https://downtherabbithole.nl/programma/camille-maria</t>
  </si>
  <si>
    <t>{"Instagram": "https://www.instagram.com/camille__maria/", "SoundCloud": "https://soundcloud.com/camille_maria"}</t>
  </si>
  <si>
    <t>Farida Amadou</t>
  </si>
  <si>
    <t>A groundbreaking bassist redefining the boundaries of experimental and improvised music.</t>
  </si>
  <si>
    <t>Experimental/Improvised Music</t>
  </si>
  <si>
    <t>Farida Amadou is a Belgian bassist known for her innovative approach to experimental and improvised music, blending elements of noise, jazz, and rock. She has collaborated with renowned artists like Steve Noble and Thurston Moore, establishing herself as a prominent figure in avant-garde music.</t>
  </si>
  <si>
    <t>https://open.spotify.com/artist/6IdqMJDojhXaIaiCziv9IB</t>
  </si>
  <si>
    <t>Farida Amadou's dynamic bass playing and fearless exploration of sound have made her a standout in the experimental music scene. Her collaborations with influential musicians highlight her ability to push the boundaries of improvisation and genre.</t>
  </si>
  <si>
    <t>https://downtherabbithole.nl/programma/farida-amadou</t>
  </si>
  <si>
    <t>{"Instagram": "https://www.instagram.com/___fariiiiiiiida/", "Spotify": "https://open.spotify.com/artist/6IdqMJDojhXaIaiCziv9IB?si=a4mmml8-S22_FifCvOMj_A", "SoundCloud": "https://soundcloud.com/farida-amadou?fbclid=IwAR2SwL3sZ52QvmuuttaRGMJFH5Q_ro1CZAfnlLga2Q3ZBXd4v8FvGI5ITiI", "Website": "https://faridamadou.com/"}</t>
  </si>
  <si>
    <t>Architect of Sonic Realities</t>
  </si>
  <si>
    <t>https://downtherabbithole.nl/programma/gizem-oz</t>
  </si>
  <si>
    <t>{"Instagram": "https://www.instagram.com/gizemoz__/", "SoundCloud": "https://soundcloud.com/gizemoz", "Website": "https://gizemoz.com/"}</t>
  </si>
  <si>
    <t>glinted records w/ Nessim &amp; GATELESS</t>
  </si>
  <si>
    <t>Boundary-breaking beats, ambient alchemy.</t>
  </si>
  <si>
    <t>https://downtherabbithole.nl/programma/glinted-records-w-nessim-gateless</t>
  </si>
  <si>
    <t>{"Instagram": "https://www.instagram.com/glinted_records/", "SoundCloud": "https://soundcloud.com/glinted_records", "Website": "https://www.glinted.info/"}</t>
  </si>
  <si>
    <t>Helen Island</t>
  </si>
  <si>
    <t>Digital dreams drenched in melancholy.</t>
  </si>
  <si>
    <t>https://open.spotify.com/artist/6SRS5s7fDegvgH2w96Ax0y</t>
  </si>
  <si>
    <t>https://downtherabbithole.nl/programma/helen-island</t>
  </si>
  <si>
    <t>{"Instagram": "https://www.instagram.com/trigger_moral/", "YouTube": "https://www.youtube.com/channel/UCt2iXRmZ06jOBdaGFsnqusA", "Spotify": "https://open.spotify.com/artist/6SRS5s7fDegvgH2w96Ax0y?si=tftyEkj-TamRQvDRGVfEqg"}</t>
  </si>
  <si>
    <t>Jacob Dwyer</t>
  </si>
  <si>
    <t>Where soundscapes meet untamed storytelling</t>
  </si>
  <si>
    <t>https://downtherabbithole.nl/programma/jacob-dwyer</t>
  </si>
  <si>
    <t>{"Instagram": "https://www.instagram.com/jacobdwyer106/", "Website": "https://jacobdwyer.com/"}</t>
  </si>
  <si>
    <t>La Rat</t>
  </si>
  <si>
    <t>Razor-edged rhymes, vinyl-scratched visions.</t>
  </si>
  <si>
    <t>https://open.spotify.com/artist/28PbtIaE1Xc3N6CcwrZ4yb</t>
  </si>
  <si>
    <t>https://downtherabbithole.nl/programma/la-rat</t>
  </si>
  <si>
    <t>{"Instagram": "https://www.instagram.com/_la_rat/", "Spotify": "https://open.spotify.com/artist/28PbtIaE1Xc3N6CcwrZ4yb?si=ZLtWMyIESJee6QGjL3L66g"}</t>
  </si>
  <si>
    <t>LazerGazer</t>
  </si>
  <si>
    <t>Bass-heavy chaos with Syrian soul.</t>
  </si>
  <si>
    <t>[using festival bio due to a lack of publicly available data] For her collection of explosive, insanely wild bangers, Amsterdam-based LazerGazer often draws from her Syrian roots, among many others. But it never stops there. The DJ, originally from Damascus, is a master of overwhelming sets where the most intense club styles collide in organic ways. Internationally renowned as an eclectic connoisseur, LazerGazer guarantees a clubby journey of discovery on the dance floor. Her hypnotic rhythms, fiery percussion, and intense basslines have ignited dance floors in the Netherlands and far beyond. Now playing: REX.</t>
  </si>
  <si>
    <t>https://downtherabbithole.nl/programma/lazergazer</t>
  </si>
  <si>
    <t>Voor haar collectie explosieve, megalijpe bangers plukt de in Amsterdam woonachtige LazerGazer ook geregeld uit haar Syrische roots, onder vele andere. Maar daar houdt het nooit bij op. De uit Damascus afkomstige deejay is namelijk een meester van overrompelende sets waarin de meest intense clubstijlen op organische manieren tegen elkaar knallen. Internationaal gerenommeerd als eclectische fijnproever staat LazerGazer garant voor een clubby ontdekkingsreis op de dansvloer. Haar hypnotiserende ritmes, vurige percussie en intense bassen hebben dansvloeren in Nederland en wereldwijde omstreken doen oplaaien. Now playing: REX.</t>
  </si>
  <si>
    <t>For her collection of explosive, insanely wild bangers, Amsterdam-based LazerGazer often draws from her Syrian roots, among many others. But it never stops there. The DJ, originally from Damascus, is a master of overwhelming sets where the most intense club styles collide in organic ways. Internationally renowned as an eclectic connoisseur, LazerGazer guarantees a clubby journey of discovery on the dance floor. Her hypnotic rhythms, fiery percussion, and intense basslines have ignited dance floors in the Netherlands and far beyond. Now playing: REX.</t>
  </si>
  <si>
    <t>{"Instagram": "https://www.instagram.com/thelazergazer/", "SoundCloud": "https://soundcloud.com/thelazergazer"}</t>
  </si>
  <si>
    <t>Marathon Man</t>
  </si>
  <si>
    <t>Genre-defying architect of future soundscapes</t>
  </si>
  <si>
    <t>[using festival bio due to a lack of publicly available data] With several flagship artists from his record label in the RADIATE VI lineup, Dominik Rodemann cannot be left behind. The founder of the Amsterdam-Paris discovery label South of North also spins thrilling records himself under the alias Marathon Man, often featuring a selection of artists from his roster. During his adventurous sets, you'll hear experimental future sounds from both past and present, defying any single genre. South of North exclusively brings in acts with a clear DIY mentality, whether they create ambient, noise, dub, garage rock, or hip-hop.</t>
  </si>
  <si>
    <t>https://downtherabbithole.nl/programma/marathon-man</t>
  </si>
  <si>
    <t>Met verschillende paradepaarden van zijn platenlabel in de line-up van RADIATE VI kan Dominik Rodemann niet achterblijven. De oprichter van het Amsterdams-Parijse ontdekkerslabel South of North draait immers zelf ook spannende platen onder het alias Marathon Man, vaak een selectie van artiesten uit zijn stal. Tijdens zijn avontuurlijke sets hoor je experimentele toekomstmuziek uit heden en verleden, die niet in een genre te vangen is. South of North haalt namelijk alleen acts met een duidelijke DIY-mentaliteit binnen, of die nou ambient, noise, dub, garagerock of hiphop maken.</t>
  </si>
  <si>
    <t>With several flagship artists from his record label in the RADIATE VI lineup, Dominik Rodemann cannot be left behind. The founder of the Amsterdam-Paris discovery label South of North also spins thrilling records himself under the alias Marathon Man, often featuring a selection of artists from his roster. During his adventurous sets, you'll hear experimental future sounds from both past and present, defying any single genre. South of North exclusively brings in acts with a clear DIY mentality, whether they create ambient, noise, dub, garage rock, or hip-hop.</t>
  </si>
  <si>
    <t>{"Instagram": "https://www.instagram.com/south_of_north/", "YouTube": "https://www.youtube.com/channel/UCn4QsBfLS0jD6sEXSvJ_ngA?view_as=subscriber", "SoundCloud": "https://soundcloud.com/southofnorthamsterdam"}</t>
  </si>
  <si>
    <t>Margie</t>
  </si>
  <si>
    <t>Curator of Beats, Builder of Vibes</t>
  </si>
  <si>
    <t>https://downtherabbithole.nl/programma/margie</t>
  </si>
  <si>
    <t>Getuige haar verleden bij scene-iconen Rush Hour Records en het Eindhovense Stroomhuis weet Margie heel goed hoe ze een feestje moet bouwen. Maar dat is lang niet alles, want als schrijfster en community-bouwer is ze altijd op zoek naar grensverleggende geluiden die de creatieve diversiteit vieren. Die belanden niet alleen geheid op haar draaitafel, maar krijgen waar mogelijk ook een plek op haar pop-upplatform LOCH INN, dat geregeld opduikt in de club en op Echobox Radio. Grensverleggend, creatief divers, check en dubbelcheck: welkom op RADIATE VI, Margie.</t>
  </si>
  <si>
    <t>{"Instagram": "https://www.instagram.com/margietown515/", "SoundCloud": "https://soundcloud.com/margietown515"}</t>
  </si>
  <si>
    <t>Merely</t>
  </si>
  <si>
    <t>Dreamy and ethereal soundscapes blending electronic and pop elements.</t>
  </si>
  <si>
    <t>Electronic/Dream Pop</t>
  </si>
  <si>
    <t>Merely is a Swedish artist known for her ethereal and atmospheric music, blending electronic production with dream pop influences. Her work often features lush soundscapes and emotive vocals, creating an immersive listening experience.</t>
  </si>
  <si>
    <t>https://open.spotify.com/artist/3R0EMFbUS5NaombX9GQOn7</t>
  </si>
  <si>
    <t>Merely crafts a unique blend of electronic and dream pop, characterized by lush, atmospheric production and emotive vocal delivery. Her music has been praised for its ability to transport listeners into a dreamy, otherworldly realm.</t>
  </si>
  <si>
    <t>https://downtherabbithole.nl/programma/merely</t>
  </si>
  <si>
    <t>Interaction is everything. Dream pop, new age, club tunes, and ambient form the foundation of Merely's records. Her ethereal voice and poetic lyrics largely define the atmosphere of her productions, which can be described as both mystical and sunny. The best examples of this can be heard on her solo album *Sculpture* and *Essential Mixtape*, a stunning ambient collaboration with her close friend Malibu, recorded during a road trip through Sweden. And speaking of synergy: during her shows, Merely enhances stripped-down club edits from her own repertoire with live vocals.
Image by: Philip Svensson</t>
  </si>
  <si>
    <t>{"Instagram": "https://www.instagram.com/merelymerelymer/", "YouTube": "https://www.youtube.com/@merelymerelymer", "Spotify": "https://open.spotify.com/artist/3R0EMFbUS5NaombX9GQOn7?si=U72Z0hg3RBuL6A7y99lLvA", "SoundCloud": "https://soundcloud.com/merely", "Website": "https://merely.zone/"}</t>
  </si>
  <si>
    <t>NEXCYIA</t>
  </si>
  <si>
    <t>A boundary-pushing sound artist blending experimental noise and ambient textures.</t>
  </si>
  <si>
    <t>Experimental/Ambient/Noise</t>
  </si>
  <si>
    <t>NEXCYIA is an experimental sound artist and producer who crafts immersive sonic landscapes by blending noise, ambient, and field recordings. Their work explores themes of identity, memory, and emotion, often pushing the boundaries of sound design.</t>
  </si>
  <si>
    <t>https://open.spotify.com/artist/40wAy6PBtoaw0dJB0JtkNZ</t>
  </si>
  <si>
    <t>NEXCYIA's music is a deeply atmospheric and experimental journey, combining dissonant noise, ambient soundscapes, and intricate field recordings to create a visceral and emotive listening experience. Their work is celebrated for its innovative approach to sound design and its ability to evoke powerful emotional responses.</t>
  </si>
  <si>
    <t>Non-binary</t>
  </si>
  <si>
    <t>https://downtherabbithole.nl/programma/nexcyia</t>
  </si>
  <si>
    <t>We often associate ambient music with a kind of musical wallpaper: unobtrusive sounds to drift away to. NEXCYIA sees it differently. His ambient resembles modernist sculptures: stunning sonic creations made of raw materials and strange textures. The American artist molds musical worlds that explore the tension between beauty and unease. His album *Endless Path of Memory* is composed of fluid tracks that comfort but also creep under your skin. Wonderfully disorienting music, then, which at RADIATE VI invites you to get lost and drift even deeper into reverie.</t>
  </si>
  <si>
    <t>{"Instagram": "https://www.instagram.com/nexcyia/", "Facebook": "https://www.facebook.com/nexcyia", "Twitter": "https://x.com/nexcyia", "YouTube": "https://www.youtube.com/channel/UCN6gN1zb0wsfEjV9ciJyQMA", "Spotify": "https://open.spotify.com/artist/40wAy6PBtoaw0dJB0JtkNZ?si=iAThKL93T56DY6lYvCtDuw", "SoundCloud": "https://soundcloud.com/nexcyia"}</t>
  </si>
  <si>
    <t>ojoo</t>
  </si>
  <si>
    <t>Rebel beats igniting dancefloor revolutions</t>
  </si>
  <si>
    <t>[using festival bio due to a lack of publicly available data] The weight of the heavy basslines in ojoo's sets carries political dimensions that resonate beyond the dance floor. The Morocco-born DJ and curator, based in Brussels, is one of the founders of the intersectional feminist collective Psst, which opens doors for marginalized groups to bring more power into club music. With a punky and rebellious energy, this musician puts pressure on both the industry and the dance floor, delivering raw blends, angular rhythms, and a hefty sonic barrage, balanced by quieter moments that provide the necessary counterweight.
Image by: Maryan Sayd</t>
  </si>
  <si>
    <t>https://downtherabbithole.nl/programma/ojoo</t>
  </si>
  <si>
    <t>The weight of the heavy basslines in ojoo's sets carries political dimensions that resonate beyond the dance floor. The Morocco-born DJ and curator, based in Brussels, is one of the founders of the intersectional feminist collective Psst, which opens doors for marginalized groups to bring more power into club music. With a punky and rebellious energy, this musician puts pressure on both the industry and the dance floor, delivering raw blends, angular rhythms, and a hefty sonic barrage, balanced by quieter moments that provide the necessary counterweight.
Image by: Maryan Sayd</t>
  </si>
  <si>
    <t>{"Instagram": "https://www.instagram.com/_o_j_o_o_", "SoundCloud": "https://soundcloud.com/ojoogyal"}</t>
  </si>
  <si>
    <t>Orpheu The Wizard</t>
  </si>
  <si>
    <t>A genre-defying DJ known for his eclectic and adventurous sets.</t>
  </si>
  <si>
    <t>Electronic/Disco/World</t>
  </si>
  <si>
    <t>Orpheu The Wizard is a Dutch DJ and co-founder of the Amsterdam-based Red Light Radio. Known for his eclectic taste, he blends obscure disco, electronic, and world music into captivating sets that have earned him a loyal following in the global underground music scene.</t>
  </si>
  <si>
    <t>https://open.spotify.com/artist/3b3wXz7Vt1JpT5z4nZJdIb</t>
  </si>
  <si>
    <t>Orpheu The Wizard's ability to seamlessly mix rare and diverse genres, from obscure disco to global sounds, has made him a standout figure in the underground electronic music scene. His sets are celebrated for their adventurous and unpredictable nature.</t>
  </si>
  <si>
    <t>https://downtherabbithole.nl/programma/orpheu-the-wizard</t>
  </si>
  <si>
    <t>Deze lokale legende uit Amsterdam heeft een toepasselijke artiestennaam gekozen, want achter de decks tovert Orpheu The Wizard de meest fantastische sets bij elkaar. De eclectische dj was medeoprichter van Red Light Radio en een spin in het web van Dekmantel. Zijn magische sets barsten van de muzikale invloeden die op fabelachtige manieren samensmelten: vreemde electro, grensverleggende techno, obscure house en mysterieuze ambient zijn allemaal onderdeel van zijn muzikale universum. Na een set van deze tovenaar zit je ongetwijfeld met een lijstje obscure platen die smeken om een Track ID.</t>
  </si>
  <si>
    <t>{"Instagram": "https://www.instagram.com/orpheuthewizard/", "Facebook": "https://www.facebook.com/orpheuthewizard", "SoundCloud": "https://soundcloud.com/orpheuthewizard"}</t>
  </si>
  <si>
    <t>Phantom Wizard</t>
  </si>
  <si>
    <t>Channeling ancestral echoes into soundscapes.</t>
  </si>
  <si>
    <t>Suriname</t>
  </si>
  <si>
    <t>[using festival bio due to a lack of publicly available data] The composer and multi-instrumentalist Phantom Wizard sees himself more or less as a kind of lightning rod for sound, that uncontrollable primal force you can only try to guide. In his improvisations, you can just as easily hear natural soundscapes as classical instruments and experimental electronics. A recurring theme in his work is the centuries-old traditions of the Afro-diaspora and Suriname, which he skillfully weaves into the sonic medium, hopping between styles like ambient, free jazz, minimalism, and all the other beauty that descends upon him in the moment.</t>
  </si>
  <si>
    <t>https://open.spotify.com/artist/5kCMTNFDKZxFJOhWCcTRzC</t>
  </si>
  <si>
    <t>https://downtherabbithole.nl/programma/phantom-wizard</t>
  </si>
  <si>
    <t>De componist en multi-instrumentalist Phantom Wizard ziet zichzelf min of meer als een soort bliksemgeleider voor geluid, die oncontroleerbare oerkracht die je alleen kunt proberen te sturen. In zijn improvisaties hoor je daarom net zo goed natuursoundscapes als klassieke instrumenten en experimentele elektronica terug. Rode draad in zijn werk zijn de eeuwenoude tradities van de Afro-diaspora en Suriname, die het sonische medium behendig stijlhoppend verweeft in ambient, freejazz, minimal en al het andere moois dat op dat moment in hem neerdaalt.</t>
  </si>
  <si>
    <t>The composer and multi-instrumentalist Phantom Wizard sees himself more or less as a kind of lightning rod for sound, that uncontrollable primal force you can only try to guide. In his improvisations, you can just as easily hear natural soundscapes as classical instruments and experimental electronics. A recurring theme in his work is the centuries-old traditions of the Afro-diaspora and Suriname, which he skillfully weaves into the sonic medium, hopping between styles like ambient, free jazz, minimalism, and all the other beauty that descends upon him in the moment.</t>
  </si>
  <si>
    <t>{"Instagram": "https://www.instagram.com/phantom.wizard/", "YouTube": "https://www.youtube.com/@phantom.wizard", "Spotify": "https://open.spotify.com/artist/5kCMTNFDKZxFJOhWCcTRzC?si=GzWr2xGeSc2gAR41fTdnkA", "SoundCloud": "https://soundcloud.com/isha1107"}</t>
  </si>
  <si>
    <t>Rainy Miller</t>
  </si>
  <si>
    <t>Blending experimental production with raw, emotive vocals, Rainy Miller crafts deeply atmospheric soundscapes.</t>
  </si>
  <si>
    <t>Experimental/Electronic</t>
  </si>
  <si>
    <t>Rainy Miller is a UK-based artist and producer known for his experimental approach to electronic music, combining textured production with introspective and emotive vocal performances. He is associated with the Preston-based label and collective Fixed Abode.</t>
  </si>
  <si>
    <t>https://open.spotify.com/artist/53LAWIqLkYE3N2UFod80A3</t>
  </si>
  <si>
    <t>Rainy Miller's music merges experimental electronic production with heartfelt and raw vocal delivery, creating a deeply atmospheric and introspective sound. His work often explores themes of vulnerability and emotional depth, resonating with fans of boundary-pushing music.</t>
  </si>
  <si>
    <t>https://downtherabbithole.nl/programma/rainy-miller</t>
  </si>
  <si>
    <t>Voor de uit Preston afkomstige producer, songwriter en zanger Rainy Miller is drill een expressief canvas voor extreem persoonlijke muziek. Soms is zijn broeierige combinatie van pop, ambient, rap en een dreunende subbas overweldigend intens, maar via dat muzikale geweld worstelt deze muzikant op de meest intieme wijze met zijn innerlijke demonen. De vaak door AutoTune vervormde stem van Rainy Miller heeft wat weg van een klaagzang, eentje waarmee Miller urgent commentaar levert op een grauw bestaan in het rauwe noorden van Engeland.  
Beeld door: Jack Bowes</t>
  </si>
  <si>
    <t>{"Instagram": "https://www.instagram.com/rainymiller_/?hl=en", "Spotify": "https://open.spotify.com/artist/53LAWIqLkYE3N2UFod80A3?si=wclh_WS4QOKUutMOVI-5iA", "SoundCloud": "https://soundcloud.com/rainythedon/tracks"}</t>
  </si>
  <si>
    <t>Refreshers</t>
  </si>
  <si>
    <t>Ambient rhythms, woven introspection.</t>
  </si>
  <si>
    <t>ambient jungle</t>
  </si>
  <si>
    <t>[using festival bio due to a lack of publicly available data] As Lukid, Londoner Luke Blair crafted layered hip-hop instrumentals that sound like an old patchwork quilt of countless interwoven samples. Refreshers is his pseudonym for tracks that pack a bit less punch. Think sophisticated live sets with ambient jungle, but without razor-sharp amen breaks and monstrous sub-bass. Refreshers represents much more than just raw club power. Luke Blair is a masterful producer with an ear for unconventional textures and more introspective moments, turning his brilliant sets into a kind of meditative listening journey.</t>
  </si>
  <si>
    <t>https://downtherabbithole.nl/programma/refreshers</t>
  </si>
  <si>
    <t>Als Lukid maakte Londenaar Luke Blair gelaagde hiphop-instrumentals die klinken als een oude lappendeken van talloze aan elkaar geregen samples. Refreshers is zijn pseudoniem voor de tracks die wat minder knallen. Denk geavanceerde livesets met ambient jungle, maar dan zonder vlijmscherpe amenbreaks en monsterlijke subbas. Refreshers staat namelijk voor veel meer dan slechts bruut clubgeweld. Luke Blair is een meesterlijke producer met een oor voor ongebruikelijke texturen en meer introspectieve momenten, waardoor zijn meesterlijke sets ook een soort meditatieve luistertrip worden.</t>
  </si>
  <si>
    <t>As Lukid, Londoner Luke Blair crafted layered hip-hop instrumentals that sound like an old patchwork quilt of countless interwoven samples. Refreshers is his pseudonym for tracks that pack a bit less punch. Think sophisticated live sets with ambient jungle, but without razor-sharp amen breaks and monstrous sub-bass. Refreshers represents much more than just raw club power. Luke Blair is a masterful producer with an ear for unconventional textures and more introspective moments, turning his brilliant sets into a kind of meditative listening journey.</t>
  </si>
  <si>
    <t>{"Instagram": "https://www.instagram.com/refreshersrecords/", "YouTube": "https://www.youtube.com/channel/UCpMwyTK99OqhIEx_MzJa1UA", "SoundCloud": "https://soundcloud.com/refreshersrecords"}</t>
  </si>
  <si>
    <t>Rrita Jashari</t>
  </si>
  <si>
    <t>Global beats, raw euphoria unleashed</t>
  </si>
  <si>
    <t>Kosovo</t>
  </si>
  <si>
    <t>[using festival bio due to a lack of publicly available data] You could say that Rrita Jashari, born in Kosovo, looks beyond borders. This key figure of the Brussels scene helped bring the explosive sound system culture to the Belgian capital and, as a resident of Kiosk Radio, seamlessly weaves together the most diverse sets. She is a top-tier record collector and knows how to extract irresistibly danceable sets from all that black gold. From dubby techno and global club sounds to hard-hitting rap and ventures into the deeper niches of dance: Rrita Jashari exudes feminine bravado and raw euphoria.</t>
  </si>
  <si>
    <t>https://downtherabbithole.nl/programma/rrita-jashari</t>
  </si>
  <si>
    <t>Je kunt stellen dat de in Kosovo geboren Rrita Jashari over grenzen kijkt. Dit sleutelfiguur van de Brusselse scene bracht mede de knallende soundsystemcultuur naar de Belgische hoofdstad en draait als resident van Kiosk Radio de meest uiteenlopende sets aan elkaar. Ze is een platenverzamelaar ten top en weet heerlijk dansbare sets uit al dat zwarte goud te persen. Van dubby techno en globale clubsounds tot snoeiharde rap en uitstapjes in de verdere niches van dance: bij Rrita Jashari barst het van de feminiene bravoure en rauwe euforie.</t>
  </si>
  <si>
    <t>You could say that Rrita Jashari, born in Kosovo, looks beyond borders. This key figure of the Brussels scene helped bring the explosive sound system culture to the Belgian capital and, as a resident of Kiosk Radio, seamlessly weaves together the most diverse sets. She is a top-tier record collector and knows how to extract irresistibly danceable sets from all that black gold. From dubby techno and global club sounds to hard-hitting rap and ventures into the deeper niches of dance: Rrita Jashari exudes feminine bravado and raw euphoria.</t>
  </si>
  <si>
    <t>{"Instagram": "https://www.instagram.com/jasharrita/", "SoundCloud": "https://soundcloud.com/jasharrita"}</t>
  </si>
  <si>
    <t>Torus</t>
  </si>
  <si>
    <t>Club futurist crafting ambient dreams.</t>
  </si>
  <si>
    <t>electronic</t>
  </si>
  <si>
    <t>https://open.spotify.com/artist/4YlNFCrxoTfxFtZwPoGjLW</t>
  </si>
  <si>
    <t>https://downtherabbithole.nl/programma/torus</t>
  </si>
  <si>
    <t>{"Instagram": "https://www.instagram.com/torvs/", "Twitter": "https://x.com/torusVEVO", "Spotify": "https://open.spotify.com/artist/4YlNFCrxoTfxFtZwPoGjLW?si=0N39GGaLRoCpFGuW4c-Ktg", "SoundCloud": "https://soundcloud.com/torvs"}</t>
  </si>
  <si>
    <t>Voice as Landscape presents: Joleidy's Reprieve</t>
  </si>
  <si>
    <t>Where Words Echo and Resonate</t>
  </si>
  <si>
    <t>https://open.spotify.com/artist/2U6HeqLpdqyzePPbf284fW</t>
  </si>
  <si>
    <t>https://downtherabbithole.nl/programma/voice-as-landscape-presents-joleidys-reprieve</t>
  </si>
  <si>
    <t>{"Instagram": "https://www.instagram.com/un_mateo_/", "Spotify": "https://open.spotify.com/artist/2U6HeqLpdqyzePPbf284fW?si=dq9C5QbOQPShHGMJjiknQg: "}</t>
  </si>
  <si>
    <t>BOMBSTRAP</t>
  </si>
  <si>
    <t>Raw fury, louder than rebellion.</t>
  </si>
  <si>
    <t>HOLDING</t>
  </si>
  <si>
    <t>hardcore punk</t>
  </si>
  <si>
    <t>https://open.spotify.com/artist/6ud0jG0jCjCKPbUzH832OL</t>
  </si>
  <si>
    <t>https://downtherabbithole.nl/programma/bombstrap</t>
  </si>
  <si>
    <t>{"Instagram": "https://www.instagram.com/bombstrap.rotterdam/", "Spotify": "https://open.spotify.com/artist/6ud0jG0jCjCKPbUzH832OL?si=LLwcjQwYQf-Tfmdl6P5Orw"}</t>
  </si>
  <si>
    <t>CLITTEBAND</t>
  </si>
  <si>
    <t>Furious riffs, riotous rebellion, absurd joy.</t>
  </si>
  <si>
    <t>punk</t>
  </si>
  <si>
    <t>https://open.spotify.com/artist/1mdpsox66qFgKuJIzvPpFv</t>
  </si>
  <si>
    <t>https://downtherabbithole.nl/programma/clitteband</t>
  </si>
  <si>
    <t>{"Instagram": "https://www.instagram.com/clittebandband/", "Facebook": "https://www.facebook.com/profile.php?id=100086937254399&amp;amp;ref=PROFILE_EDIT_xav_ig_profile_page_web#", "YouTube": "https://www.youtube.com/channel/UCIuxIvalmL9ONvWRmTQnzoQ", "Spotify": "https://open.spotify.com/artist/1mdpsox66qFgKuJIzvPpFv?si=ut1NhbJsT--gqp9Q3TiX5g"}</t>
  </si>
  <si>
    <t>Dear Omen</t>
  </si>
  <si>
    <t>Apocalyptic Glam with a Gothic Soul</t>
  </si>
  <si>
    <t>gothic rock</t>
  </si>
  <si>
    <t>[using festival bio due to a lack of publicly available data] Three pieces of instrumentation and a voice; that's all you need to summon apocalyptic vibes. Krautrock-inspired drums, a distorted bass, a foreboding organ, and eclipse-inducing vocals, to be precise. Enter Dear Omen, the Amsterdam gothic rock trio unafraid to embrace the night as extravagantly as possible: KISS makeup, towering heels, kinky accessories, the whole package. But it's those Grace Slick-reminiscent vocals and Joy Division-esque undertones that momentarily plunge HOLDING into desolate '80s atmospheres. Go see them before the bomb drops.</t>
  </si>
  <si>
    <t>https://open.spotify.com/artist/3jZaVUML78O4diJtPEmPbP</t>
  </si>
  <si>
    <t>https://downtherabbithole.nl/programma/dear-omen</t>
  </si>
  <si>
    <t>Drie stuks instrumentarium en stem; meer heb je niet nodig om apocalyptische vibes op te roepen. Krautrockende drums, overstuurde bas, een onheilspellend orgel en zonverduisterende zang, om precies te zijn. Enter Dear Omen, het Amsterdamse gothic rocktrio dat niet bang is om zo extravagant mogelijk voor de nacht te komen: KISS-schmink, huizenhoge hakken, kinky accessoires, the lot. Maar het zijn vooral die aan Grace Slick refererende vocalen en Joy Divisioneske onderlaag die HOLDING tijdelijk onderdompelen in desolate eighties-sferen. Ga ze zien, voordat de bom valt.&amp;nbsp;</t>
  </si>
  <si>
    <t>Three pieces of instrumentation and a voice; that's all you need to summon apocalyptic vibes. Krautrock-inspired drums, a distorted bass, a foreboding organ, and eclipse-inducing vocals, to be precise. Enter Dear Omen, the Amsterdam gothic rock trio unafraid to embrace the night as extravagantly as possible: KISS makeup, towering heels, kinky accessories, the whole package. But it's those Grace Slick-reminiscent vocals and Joy Division-esque undertones that momentarily plunge HOLDING into desolate '80s atmospheres. Go see them before the bomb drops.</t>
  </si>
  <si>
    <t>{"Instagram": "https://www.instagram.com/dearomen_/", "Spotify": "https://open.spotify.com/artist/3jZaVUML78O4diJtPEmPbP?si=93va3aslQYKj4iBLO8VhCw"}</t>
  </si>
  <si>
    <t>FEMME FUGAZI</t>
  </si>
  <si>
    <t>Feral riffs, fierce rebellion, pure fire.</t>
  </si>
  <si>
    <t>post-punk</t>
  </si>
  <si>
    <t>https://open.spotify.com/artist/46aPUI1QQCkmWmw0JUaAUM</t>
  </si>
  <si>
    <t>https://downtherabbithole.nl/programma/femme-fugazi</t>
  </si>
  <si>
    <t>{"Instagram": "https://www.instagram.com/femmefugazi/", "Facebook": "https://www.facebook.com/femmefugazi/", "Spotify": "https://open.spotify.com/artist/46aPUI1QQCkmWmw0JUaAUM?si=42AvvsNnTZSV8AVi0xhF6g"}</t>
  </si>
  <si>
    <t>Hondenfokker</t>
  </si>
  <si>
    <t>Rave-punk chaos, Amsterdam unleashed.</t>
  </si>
  <si>
    <t>rave-punk</t>
  </si>
  <si>
    <t>https://open.spotify.com/artist/0LHnPEv5VuyYivV2pg9Syb</t>
  </si>
  <si>
    <t>https://downtherabbithole.nl/programma/hondenfokker</t>
  </si>
  <si>
    <t>{"Instagram": "https://www.instagram.com/hondenfokker/", "YouTube": "https://www.youtube.com/@HondenFokker", "Spotify": "https://open.spotify.com/artist/0LHnPEv5VuyYivV2pg9Syb?si=qHOBWtxFR7-S2mfS1T5xWA"}</t>
  </si>
  <si>
    <t>Honey I'm Home</t>
  </si>
  <si>
    <t>Fuzzy Shoegaze with Nineties Soul</t>
  </si>
  <si>
    <t>shoegaze</t>
  </si>
  <si>
    <t>[using festival bio due to a lack of publicly available data] That their band would be cursed after a rehearsal space fire that destroyed their backline is certainly not evident from the achievements of these Amsterdam natives, which now include the prestigious showcase festival SXSW and several European tours. With members from WIES and Marathon, you're definitely not dealing with amateurs here. Listen to powerhouse singles like 'Insecure' and 'Pretty,' where stacked layers of fuzzy shoegaze contrast with crystal-clear, Pixies/Smashing Pumpkins-esque vocals. Anyone with even a hint of love for the nineties will soon be cheering in HOLDING, goosebumps and all: Honey I'm Home!
Image by: Hannah Bruynzeel</t>
  </si>
  <si>
    <t>https://open.spotify.com/artist/4nOBSMvnstrNNr5Bl7z2OA</t>
  </si>
  <si>
    <t>https://downtherabbithole.nl/programma/honey-im-home</t>
  </si>
  <si>
    <t>That their band would be cursed after a rehearsal space fire that destroyed their backline is certainly not evident from the achievements of these Amsterdam natives, which now include the prestigious showcase festival SXSW and several European tours. With members from WIES and Marathon, you're definitely not dealing with amateurs here. Listen to powerhouse singles like 'Insecure' and 'Pretty,' where stacked layers of fuzzy shoegaze contrast with crystal-clear, Pixies/Smashing Pumpkins-esque vocals. Anyone with even a hint of love for the nineties will soon be cheering in HOLDING, goosebumps and all: Honey I'm Home!
Image by: Hannah Bruynzeel</t>
  </si>
  <si>
    <t>{"Instagram": "https://www.instagram.com/honeyimhomesweethome/", "Spotify": "https://open.spotify.com/artist/4nOBSMvnstrNNr5Bl7z2OA?si=THRuPlDdSv-49i02c8y6sw"}</t>
  </si>
  <si>
    <t>Hypnosis Therapy</t>
  </si>
  <si>
    <t>South Korea</t>
  </si>
  <si>
    <t>https://open.spotify.com/artist/6JwAbXBmKAP4lIett8KUiP</t>
  </si>
  <si>
    <t>https://downtherabbithole.nl/programma/hypnosis-therapy</t>
  </si>
  <si>
    <t>{"Instagram": "https://www.instagram.com/hypnosistherapy_/", "Twitter": "https://x.com/hypnos1stherapy", "YouTube": "https://www.youtube.com/@HYPNOSISTHERAPY_KR/videos", "Spotify": "https://open.spotify.com/artist/6JwAbXBmKAP4lIett8KUiP?si=7Ns_jAnJQKKGIvj6dlZoUw"}</t>
  </si>
  <si>
    <t>Juny Martina</t>
  </si>
  <si>
    <t>Antillean beats, razor-sharp rebellion.</t>
  </si>
  <si>
    <t>modern hip-hop</t>
  </si>
  <si>
    <t>https://open.spotify.com/artist/3spFYWmKYnbLwnYNWLAtYy</t>
  </si>
  <si>
    <t>https://downtherabbithole.nl/programma/juny-martina</t>
  </si>
  <si>
    <t>{"Instagram": "https://www.instagram.com/juny.martina/", "Facebook": "https://www.facebook.com/MrJunyMartina/", "YouTube": "https://www.youtube.com/c/JunyMartina", "Spotify": "https://open.spotify.com/artist/3spFYWmKYnbLwnYNWLAtYy?si=eCaNqCjWSV6EfkOeiZwwOg", "SoundCloud": "https://soundcloud.com/junymartina"}</t>
  </si>
  <si>
    <t>Kaat van Stralen</t>
  </si>
  <si>
    <t>Punk poetry with venomous bite.</t>
  </si>
  <si>
    <t>punk rock</t>
  </si>
  <si>
    <t>https://open.spotify.com/artist/4iJk7vDVSLy3X0lBdOKKuF</t>
  </si>
  <si>
    <t>https://downtherabbithole.nl/programma/kaat-van-stralen</t>
  </si>
  <si>
    <t>{"Instagram": "https://www.instagram.com/kaatvanstralen/", "Facebook": "https://www.facebook.com/kaatvanstralen/", "YouTube": "https://www.youtube.com/@kaatvanstralen", "Spotify": "https://open.spotify.com/artist/4iJk7vDVSLy3X0lBdOKKuF?si=6DE68bDMQICDt2Qsic57Vw"}</t>
  </si>
  <si>
    <t>MAHA</t>
  </si>
  <si>
    <t>Post-punk firestarter igniting revolution.</t>
  </si>
  <si>
    <t>Sudan</t>
  </si>
  <si>
    <t>[using festival bio due to a lack of publicly available data] If the Sudanese activist, model, and musician MAHA belongs anywhere, it's in HOLDING. Oppression, discrimination, and greed stand no chance in her songs, which often roar forward on an uptempo motorbike, guzzling gallons of post-punk fuel. Pour that same substance over a flickering protest flame, and you can imagine what happens to all those nauseating human flaws. During the Popronde, half of the Netherlands already saw that it was good, and as a support act for sisters-in-crime Pussy Riot, MAHA once again turned everything upside down, delivering the universal truth: counting money won't fix your problem.  
Image by: Jorah Sarah</t>
  </si>
  <si>
    <t>https://downtherabbithole.nl/programma/maha</t>
  </si>
  <si>
    <t>If the Sudanese activist, model, and musician MAHA belongs anywhere, it's in HOLDING. Oppression, discrimination, and greed stand no chance in her songs, which often roar forward on an uptempo motorbike, guzzling gallons of post-punk fuel. Pour that same substance over a flickering protest flame, and you can imagine what happens to all those nauseating human flaws. During the Popronde, half of the Netherlands already saw that it was good, and as a support act for sisters-in-crime Pussy Riot, MAHA once again turned everything upside down, delivering the universal truth: counting money won't fix your problem.  
Image by: Jorah Sarah</t>
  </si>
  <si>
    <t>{"Instagram": "https://www.instagram.com/mahaeljak/"}</t>
  </si>
  <si>
    <t>STERREN STRALEN OVERAL</t>
  </si>
  <si>
    <t>https://open.spotify.com/artist/5jl4sehTF2JahCpwbXvsl9</t>
  </si>
  <si>
    <t>https://downtherabbithole.nl/programma/sterren-stralen-overal</t>
  </si>
  <si>
    <t>{"Instagram": "https://www.instagram.com/sterrenstralenoveral/", "YouTube": "https://www.youtube.com/@STERRENSTRALENOVERAL", "Spotify": "https://open.spotify.com/artist/5jl4sehTF2JahCpwbXvsl9"}</t>
  </si>
  <si>
    <t>VALS ALARM</t>
  </si>
  <si>
    <t>Riotous punk fury from The Hague.</t>
  </si>
  <si>
    <t>[using festival bio due to a lack of publicly available data] Nothing FALSE ALARM, society is getting uglier by the day. But every downside has its upside, as this became a source of frustration-fueled inspiration for this trio of rowdy Hague troublemakers, including members of Go Back To The Zoo. The band was embraced by the FLINTA* punk platform Girls to the Front and teamed up with Boaz from Goldband on "COUGAR SUGAR." Even cursed fat bikes or red flags like big dick energy aren't spared, as frontwoman Yanna Panagopoulos screams and punk-sobs her way through it all. Time to wreak some serious havoc in mosh haven HOLDING!</t>
  </si>
  <si>
    <t>https://open.spotify.com/artist/3q1SvFNWA77vrDRqEpgjbS</t>
  </si>
  <si>
    <t>https://downtherabbithole.nl/programma/vals-alarm</t>
  </si>
  <si>
    <t>Nothing FALSE ALARM, society is getting uglier by the day. But every downside has its upside, as this became a source of frustration-fueled inspiration for this trio of rowdy Hague troublemakers, including members of Go Back To The Zoo. The band was embraced by the FLINTA* punk platform Girls to the Front and teamed up with Boaz from Goldband on "COUGAR SUGAR." Even cursed fat bikes or red flags like big dick energy aren't spared, as frontwoman Yanna Panagopoulos screams and punk-sobs her way through it all. Time to wreak some serious havoc in mosh haven HOLDING!</t>
  </si>
  <si>
    <t>{"Instagram": "https://www.instagram.com/vals__alarm/", "YouTube": "https://www.youtube.com/@VALS__ALARM", "Spotify": "https://open.spotify.com/artist/3q1SvFNWA77vrDRqEpgjbS?si=bFfBn-65Q1CVFD3F5RDQCQ"}</t>
  </si>
  <si>
    <t>Surprise</t>
  </si>
  <si>
    <t>https://downtherabbithole.nl/programma/surprise</t>
  </si>
  <si>
    <t>Nachttrein</t>
  </si>
  <si>
    <t>https://downtherabbithole.nl/programma/nachttrein</t>
  </si>
  <si>
    <t>Girls to the Front Zine Workshop</t>
  </si>
  <si>
    <t>Feminist punk zines, uncensored voices.</t>
  </si>
  <si>
    <t>https://downtherabbithole.nl/programma/girls-to-the-front-zine-workshop</t>
  </si>
  <si>
    <t>{"Instagram": "https://www.instagram.com/grrrlsttf/", "Facebook": "https://www.facebook.com/p/Girls-To-The-Front-61556097033476/", "Website": "https://www.grrrlstothefront.com/?utm_source=ig&amp;amp;utm_medium=social&amp;amp;utm_content=link_in_bio&amp;amp;fbclid=PAZXh0bgNhZW0CMTEAc3J0YwZhcHBfaWQMMjU2MjgxMDQwNTU4AAGnT5CvS5I5t5z8hw2fUHsc33YhzrOhzi63gv9s24-7awt16UjcwXhBAoHiO3U_aem_wviazE5AjV7uIZoX93MZ7w"}</t>
  </si>
  <si>
    <t>Khadija El Kharraz Alami &amp; Cheb Runner perform: AJJIT</t>
  </si>
  <si>
    <t>Ancient rhythms ignite modern fire.</t>
  </si>
  <si>
    <t>Morocco</t>
  </si>
  <si>
    <t>https://downtherabbithole.nl/programma/khadija-el-kharraz-alami-cheb-runner-perform-ajjit</t>
  </si>
  <si>
    <t>{"Instagram": "https://www.instagram.com/khadouzja/", "Website": "https://kekaproductions.com/?utm_source=ig&amp;amp;utm_medium=social&amp;amp;utm_content=link_in_bio&amp;amp;fbclid=PAZXh0bgNhZW0CMTEAc3J0YwZhcHBfaWQMMjU2MjgxMDQwNTU4AAGnRsGypbUa1X71IW9TL-t-D_wrhNg9e99C8Swcl-vG3Yb7lQ7dlGCvqpAKYfo_aem_lHBqoERRSLTKLxD0CkkNXg"}</t>
  </si>
  <si>
    <t>Kromme Stad presents: Tra Fasi &amp; Hotel Mokum</t>
  </si>
  <si>
    <t>Urban resistance meets raw rebel rhythms</t>
  </si>
  <si>
    <t>https://downtherabbithole.nl/programma/kromme-stad-presents-tra-fasi-hotel-mokum</t>
  </si>
  <si>
    <t>{"Instagram": "https://www.instagram.com/krommestad/", "Facebook": "https://www.facebook.com/profile.php?id=61573745458017#", "YouTube": "https://www.youtube.com/@KrommeStad"}</t>
  </si>
  <si>
    <t>Smibanese University Lecture by Prof. Soortkill</t>
  </si>
  <si>
    <t>https://downtherabbithole.nl/programma/smibanese-university-lecture-by-prof-soortkill</t>
  </si>
  <si>
    <t>{"Instagram": "https://www.instagram.com/prof.soortkill/"}</t>
  </si>
  <si>
    <t>Le Bateau presents: Monstrous Voices</t>
  </si>
  <si>
    <t>Where Myth Sings and Oars Dance</t>
  </si>
  <si>
    <t>https://downtherabbithole.nl/programma/le-bateau-presents-monstrous-voices</t>
  </si>
  <si>
    <t>{"Instagram": "https://www.instagram.com/_lebateau_/", "Website": "https://le-bateau.org/"}</t>
  </si>
  <si>
    <t>Dermot Henry</t>
  </si>
  <si>
    <t>alternative folk</t>
  </si>
  <si>
    <t>https://open.spotify.com/artist/0RhsllRA8vVKWSiBxuF77H</t>
  </si>
  <si>
    <t>https://downtherabbithole.nl/programma/dermot-henry</t>
  </si>
  <si>
    <t>{"Instagram": "https://www.instagram.com/dermotphenry/", "YouTube": "https://www.youtube.com/channel/UCvR0d3IHG4FnubNp22VcxuA", "Spotify": "https://open.spotify.com/artist/0RhsllRA8vVKWSiBxuF77H?si=2pCQsPQhR6Klu_s9-FCMLQ"}</t>
  </si>
  <si>
    <t>Frans Kalf</t>
  </si>
  <si>
    <t>Poetic soul weaving chanson dreams.</t>
  </si>
  <si>
    <t>chanson</t>
  </si>
  <si>
    <t>https://open.spotify.com/artist/53HC6zp6LWb36NB6HBnHMt</t>
  </si>
  <si>
    <t>https://downtherabbithole.nl/programma/frans-kalf</t>
  </si>
  <si>
    <t>{"Instagram": "https://www.instagram.com/franskalf.info/", "Facebook": "https://www.facebook.com/franskalf/", "Spotify": "https://open.spotify.com/artist/53HC6zp6LWb36NB6HBnHMt?si=Z7-XaGU4RXGENjwz6asvhA"}</t>
  </si>
  <si>
    <t>Girl Group</t>
  </si>
  <si>
    <t>Post-punk anthems, fully in control.</t>
  </si>
  <si>
    <t>[using festival bio due to a lack of publicly available data] A better world starts with yourself, which is why Girl Group keeps everything in their own hands, from instruments to studio controls. According to Katya, Maria, Thea, Mia, and Lil, men have too many fingers in the pop music pie. The five from Oslo and Yorkshire blend their tastes into bouncy, post-punk glimpses of their friendship. Instrument swapping, choreographed antics, the sarcastic undertone in polished harmonies, and breezy hints of Billie Eilish and Lily Allen: the unrestrained fun bursts forth and, in doing so, inspires all potential new riot grrrls on Bossa Nova.  
Image by: Laura Braithwaite</t>
  </si>
  <si>
    <t>https://open.spotify.com/artist/4v9htNDv5ZTWn8JiMZx7S4</t>
  </si>
  <si>
    <t>https://downtherabbithole.nl/programma/girl-group</t>
  </si>
  <si>
    <t>A better world starts with yourself, which is why Girl Group keeps everything in their own hands, from instruments to studio controls. According to Katya, Maria, Thea, Mia, and Lil, men have too many fingers in the pop music pie. The five from Oslo and Yorkshire blend their tastes into bouncy, post-punk glimpses of their friendship. Instrument swapping, choreographed antics, the sarcastic undertone in polished harmonies, and breezy hints of Billie Eilish and Lily Allen: the unrestrained fun bursts forth and, in doing so, inspires all potential new riot grrrls on Bossa Nova.  
Image by: Laura Braithwaite</t>
  </si>
  <si>
    <t>{"Instagram": "https://www.instagram.com/thisisgirlgroup/", "YouTube": "https://www.youtube.com/channel/UCDK08Nu4r5X0b8aVBE64biQ", "Spotify": "https://open.spotify.com/artist/4v9htNDv5ZTWn8JiMZx7S4?si=m0MDh4QvRIyWWI_-aoIxug"}</t>
  </si>
  <si>
    <t>Fierce Mediterranean rhythms, untamed energy.</t>
  </si>
  <si>
    <t>https://open.spotify.com/artist/7F0wzg6BIXNOSrh8ixhobj</t>
  </si>
  <si>
    <t>https://downtherabbithole.nl/programma/la-nina</t>
  </si>
  <si>
    <t>{"Instagram": "https://www.instagram.com/laninadelsud/", "Facebook": "https://www.facebook.com/laninadelsud/", "YouTube": "https://www.youtube.com/channel/UCHzf4k-zsvFi18RJO0ic-TA", "Spotify": "https://open.spotify.com/artist/7F0wzg6BIXNOSrh8ixhobj?si=oUTvzAECQfSufPWAXzxqAA"}</t>
  </si>
  <si>
    <t>Madalitso Band</t>
  </si>
  <si>
    <t>Malawi's vibrant duo blending traditional rhythms with modern folk melodies.</t>
  </si>
  <si>
    <t>Traditional Malawian/Folk</t>
  </si>
  <si>
    <t>Malawi</t>
  </si>
  <si>
    <t>Madalitso Band is a two-piece acoustic group from Malawi known for their infectious energy and unique blend of traditional Malawian rhythms with folk-inspired melodies. They have gained international recognition for their raw, heartfelt performances and innovative use of homemade instruments.</t>
  </si>
  <si>
    <t>https://open.spotify.com/artist/35bpEiwd4aBhgmvUEs0EQ7</t>
  </si>
  <si>
    <t>Madalitso Band's music is a captivating fusion of traditional Malawian rhythms and folk, delivered with a raw, unpolished charm. Their use of homemade instruments and powerful live performances has earned them a growing reputation on the global music stage.</t>
  </si>
  <si>
    <t>https://downtherabbithole.nl/programma/madalitso-band</t>
  </si>
  <si>
    <t>From humble buskers to globally touring superstars, it's the musical equivalent of the rags-to-riches story. The Southeast African Madalitso Band is well on its way. When the two musicians were discovered, they were still playing on the streets of Malawi's capital, Lilongwe. Now, they have four albums to their name, with only Asia and Australia left to conquer on their tour list. Yet the duo still sounds fresh and unpretentious, with their syncopated folk played on a one-string bass, a four-string guitar, and a foot drum. Music without airs, guaranteed to bring a big smile.
Image by: Neil Nayar</t>
  </si>
  <si>
    <t>{"Instagram": "https://www.instagram.com/madalitsoband/", "Facebook": "https://www.facebook.com/madalitsoband/", "YouTube": "https://www.youtube.com/@madalitso9809", "Spotify": "https://open.spotify.com/artist/35bpEiwd4aBhgmvUEs0EQ7?si=LRL51WAYQlSTtxovEF-68A"}</t>
  </si>
  <si>
    <t>Nectar Woode</t>
  </si>
  <si>
    <t>Falsetto fire, neo-soul's new flame.</t>
  </si>
  <si>
    <t>neo-soul</t>
  </si>
  <si>
    <t>[using festival bio due to a lack of publicly available data] Nectar Woode
Her youth in the multicultural Milton Keynes was shaped by R&amp;B, jazz, gospel, and reggae, influenced in part by her father's Ghanaian roots. Open mic nights in London, her first releases, and Elton John as a self-proclaimed fan club president paved her way to milestones like Glastonbury and the Montreux Jazz Festival. And yes, anyone who listens to the track "Lights Off" is instantly hooked: the falsetto of Alicia Keys, delightful echoes of Macy Gray and Erykah Badu, and the songwriting talent of Lauryn Hill. The world has a new neo-soul sensation in Nectar Woode.</t>
  </si>
  <si>
    <t>https://open.spotify.com/artist/6XwbawUNwNcZ7OXtvMVyKK</t>
  </si>
  <si>
    <t>https://downtherabbithole.nl/programma/nectar-woode</t>
  </si>
  <si>
    <t>Nectar Woode
Her youth in the multicultural Milton Keynes was shaped by R&amp;B, jazz, gospel, and reggae, influenced in part by her father's Ghanaian roots. Open mic nights in London, her first releases, and Elton John as a self-proclaimed fan club president paved her way to milestones like Glastonbury and the Montreux Jazz Festival. And yes, anyone who listens to the track "Lights Off" is instantly hooked: the falsetto of Alicia Keys, delightful echoes of Macy Gray and Erykah Badu, and the songwriting talent of Lauryn Hill. The world has a new neo-soul sensation in Nectar Woode.</t>
  </si>
  <si>
    <t>{"Instagram": "https://www.instagram.com/nectarwoode/", "Facebook": "https://www.facebook.com/nectarw/?locale=nl_NL", "Spotify": "https://open.spotify.com/artist/6XwbawUNwNcZ7OXtvMVyKK?si=pLMeCHM1S3qEBS5OR_gdWg", "SoundCloud": "https://soundcloud.com/nectar-woode", "Website": "https://www.nectarwoo.de/?utm_source=ig&amp;amp;utm_medium=social&amp;amp;utm_content=link_in_bio&amp;amp;fbclid=PAZXh0bgNhZW0CMTEAc3J0YwZhcHBfaWQMMjU2MjgxMDQwNTU4AAGnP64rBS7mP2BLutq93tFC1JBV2mDmqPevVVcsOyadHEPj7UauqPVsYZPYjwc_aem_bL5WaZqxPIxBmfYl6oBaUQ"}</t>
  </si>
  <si>
    <t>Raynor</t>
  </si>
  <si>
    <t>Britpop breeze meets urban poetry.</t>
  </si>
  <si>
    <t>[using festival bio due to a lack of publicly available data] Almost immediately after sharing his first music online, a subsidiary of Billie Eilish's Darkroom Records helped fan the emerging TikTok spark. Refreshing tunes like "Brighter Than Before" and "Minute From the Moment," drawn from real life and brimming with top-notch songwriting, are the first signs of Raynor's musical dream taking flight. At the crossroads of breezy Britpop and raw urban sounds, where Blur, The Streets, and Bloc Party honk at each other in passing, this young North Londoner is already emerging as a radiant traffic controller.
Image by: Sophie Vaughan</t>
  </si>
  <si>
    <t>https://open.spotify.com/artist/6tPWER6b155VUhE7eIJdtb</t>
  </si>
  <si>
    <t>https://downtherabbithole.nl/programma/raynor</t>
  </si>
  <si>
    <t>Almost immediately after sharing his first music online, a subsidiary of Billie Eilish's Darkroom Records helped fan the emerging TikTok spark. Refreshing tunes like "Brighter Than Before" and "Minute From the Moment," drawn from real life and brimming with top-notch songwriting, are the first signs of Raynor's musical dream taking flight. At the crossroads of breezy Britpop and raw urban sounds, where Blur, The Streets, and Bloc Party honk at each other in passing, this young North Londoner is already emerging as a radiant traffic controller.
Image by: Sophie Vaughan</t>
  </si>
  <si>
    <t>{"Instagram": "https://www.instagram.com/r.aynor/", "Spotify": "https://open.spotify.com/artist/6tPWER6b155VUhE7eIJdtb?si=8AZXclp0ToCZDFg3Ydeq7g"}</t>
  </si>
  <si>
    <t>Rikas</t>
  </si>
  <si>
    <t>A vibrant German band blending indie pop with retro grooves and infectious energy.</t>
  </si>
  <si>
    <t>Indie Pop/Funk/Retro Pop</t>
  </si>
  <si>
    <t>Rikas is a German band known for their unique fusion of indie pop, funk, and retro-inspired sounds. Their music is characterized by catchy melodies, groovy basslines, and a playful, nostalgic vibe that has earned them a dedicated following in the European indie scene.</t>
  </si>
  <si>
    <t>https://open.spotify.com/artist/3OWO2LOPTl1u6XvJHkwHmd</t>
  </si>
  <si>
    <t>Rikas delivers a refreshing mix of indie pop and funk, infused with retro aesthetics and upbeat energy. Their polished sound and engaging live performances have made them a standout act in the European indie music landscape.</t>
  </si>
  <si>
    <t>https://downtherabbithole.nl/programma/rikas</t>
  </si>
  <si>
    <t>{"Instagram": "https://www.instagram.com/rikasband/?hl=nl", "Facebook": "https://www.facebook.com/rikasband/?locale=nl_NL", "YouTube": "https://www.youtube.com/channel/UCHUTNiTM1w97yVrV9b1ChdA", "Spotify": "https://open.spotify.com/artist/3OWO2LOPTl1u6XvJHkwHmd?si=jsv8NqlPSG2BthwLQwFIwQ"}</t>
  </si>
  <si>
    <t>SOMELINEZ</t>
  </si>
  <si>
    <t>Samurai Beats, Ancient Strings, Future Grooves</t>
  </si>
  <si>
    <t>[using festival bio due to a lack of publicly available data] From the land of the rising sun comes SOMELINEZ. Three men dressed in black, masked, and wearing samurai hats, each with a unique role: a beatboxer, a dancer, and a player of the shamisen, an ancient Japanese string instrument. Together, they take you on a trance-inducing journey filled with meditative melodies, uptempo breaks, and bass-heavy grooves. A place where world music and hip-hop intersect, so to speak, though not a single word is rapped. It's not a mix the average Rabbit will be very familiar with, but all the more intriguing.</t>
  </si>
  <si>
    <t>https://open.spotify.com/artist/2XgqkT0njA8JHxOFxipS6Q</t>
  </si>
  <si>
    <t>https://downtherabbithole.nl/programma/somelinez</t>
  </si>
  <si>
    <t>From the land of the rising sun comes SOMELINEZ. Three men dressed in black, masked, and wearing samurai hats, each with a unique role: a beatboxer, a dancer, and a player of the shamisen, an ancient Japanese string instrument. Together, they take you on a trance-inducing journey filled with meditative melodies, uptempo breaks, and bass-heavy grooves. A place where world music and hip-hop intersect, so to speak, though not a single word is rapped. It's not a mix the average Rabbit will be very familiar with, but all the more intriguing.</t>
  </si>
  <si>
    <t>{"Instagram": "https://www.instagram.com/somelinez/", "Facebook": "https://www.facebook.com/SOMELINEZ?utm_source=ig&amp;amp;utm_medium=social&amp;amp;utm_content=link_in_bio", "YouTube": "https://www.youtube.com/@SOMELINEZ", "Spotify": "https://open.spotify.com/artist/2XgqkT0njA8JHxOFxipS6Q?si=zxYQbnkCRzygLkMevbO0lg"}</t>
  </si>
  <si>
    <t>stay away from dante!</t>
  </si>
  <si>
    <t>Dreamy flows, breaking hip-hop rules.</t>
  </si>
  <si>
    <t>https://open.spotify.com/artist/5y47Otq6VIrBjaLR7Zl8nd</t>
  </si>
  <si>
    <t>https://downtherabbithole.nl/programma/stay-away-from-dante</t>
  </si>
  <si>
    <t>{"Instagram": "https://www.instagram.com/stayawayfromdante/", "YouTube": "https://www.youtube.com/channel/UCzqixrXncTxQPC6XwdDBZww", "Spotify": "https://open.spotify.com/artist/5y47Otq6VIrBjaLR7Zl8nd?si=gs7bk5_ESRmfDgYWhv0kIg"}</t>
  </si>
  <si>
    <t>ADAM Quartet + Kika Sprangers</t>
  </si>
  <si>
    <t>Classical roots, boundless modern horizons</t>
  </si>
  <si>
    <t>https://open.spotify.com/artist/11EaaVhh0XmtZfI4FlBU5d</t>
  </si>
  <si>
    <t>https://downtherabbithole.nl/programma/adam-quartet-kika-sprangers</t>
  </si>
  <si>
    <t>{"Instagram": "https://www.instagram.com/adam_quartet/", "Facebook": "https://www.facebook.com/kikasprangersmusic?mibextid=LQQJ4d&amp;amp;rdid=Oo51lGkqUAJasLpw&amp;amp;share_url=https%3A%2F%2Fwww.facebook.com%2Fshare%2F1Dc93D9Pyz%2F%3Fmibextid%3DLQQJ4d#", "YouTube": "https://www.youtube.com/@kikasprangers7996", "Spotify": "https://open.spotify.com/artist/11EaaVhh0XmtZfI4FlBU5d?si=459pYYoBS7edqKYUMSemXg", "Website": "https://www.adamquartet.com/"}</t>
  </si>
  <si>
    <t>Djuwa Mroivili</t>
  </si>
  <si>
    <t>Roots Resonating Through Revolutionary Keys</t>
  </si>
  <si>
    <t>https://open.spotify.com/artist/7qcGSyltHYZFDtgdlE7BcH</t>
  </si>
  <si>
    <t>https://downtherabbithole.nl/programma/djuwa-mroivili</t>
  </si>
  <si>
    <t>{"Instagram": "https://www.instagram.com/djuwaroza/", "YouTube": "https://www.youtube.com/@DivaDjuwa", "Spotify": "https://open.spotify.com/artist/7qcGSyltHYZFDtgdlE7BcH?si=9cBU5Uq7TfGEBmmJCSu0sg", "Website": "https://www.djuwa.nl/"}</t>
  </si>
  <si>
    <t>Where East meets avant-garde rebellion.</t>
  </si>
  <si>
    <t>contemporary classical music</t>
  </si>
  <si>
    <t>https://downtherabbithole.nl/programma/lonelinoise-sofias-trip</t>
  </si>
  <si>
    <t>{"Instagram": "https://www.instagram.com/lonelinoise.music/", "Website": "https://www.lonelinoise.com/?utm_source=ig&amp;amp;utm_medium=social&amp;amp;utm_content=link_in_bio&amp;amp;fbclid=PAZXh0bgNhZW0CMTEAc3J0YwZhcHBfaWQMMjU2MjgxMDQwNTU4AAGnP0gYxWGpdEhsxBKfjASDpwVmDL-SVPPqV9KqQKvjislpfp6xseMKcYCmrSQ_aem_-VILjY02z-N_lfMG1rbTYQ", "YouTube": "https://www.youtube.com/@lonelinoise5482"}</t>
  </si>
  <si>
    <t>MSM String Quartet</t>
  </si>
  <si>
    <t>Where timeless strings weave magic.</t>
  </si>
  <si>
    <t>classical</t>
  </si>
  <si>
    <t>[using festival bio due to a lack of publicly available data] Taking a break from all the eardrum terror? Immerse yourself in the tender strings of the MSM String Quartet. First violinist Nikita Akulov founded the Maastricht Society of Music to mix and match stages and musicians of various nationalities. Over two hundred performances across Europe later, that goal has been triumphantly achieved, and a First Great Award from the Vienna International Music Competition was also secured. In Eden's green living room, Bossa Nova, the four classical string maestros will perform twentieth-century works.
Image by: Laurent Stevens</t>
  </si>
  <si>
    <t>https://open.spotify.com/artist/4Z4QH3JBXd4Q2GP8I2fqy4</t>
  </si>
  <si>
    <t>https://downtherabbithole.nl/programma/msm-string-quartet</t>
  </si>
  <si>
    <t>Taking a break from all the eardrum terror? Immerse yourself in the tender strings of the MSM String Quartet. First violinist Nikita Akulov founded the Maastricht Society of Music to mix and match stages and musicians of various nationalities. Over two hundred performances across Europe later, that goal has been triumphantly achieved, and a First Great Award from the Vienna International Music Competition was also secured. In Eden's green living room, Bossa Nova, the four classical string maestros will perform twentieth-century works.
Image by: Laurent Stevens</t>
  </si>
  <si>
    <t>{"Instagram": "https://www.instagram.com/msm_stringquartet/", "Facebook": "https://www.facebook.com/profile.php?id=61557758610294&amp;amp;ref=NONE_xav_ig_profile_page_web#", "YouTube": "https://www.youtube.com/@MSMStringQuartet", "Spotify": "https://open.spotify.com/artist/4Z4QH3JBXd4Q2GP8I2fqy4?si=uwEyhJ9OS66YK6wF-FoIXA", "Website": "https://www.msmquartet.com/?fbclid=IwY2xjawQ7FytleHRuA2FlbQIxMABicmlkETFyc3Vka3hNTEZ6ZFBJbVhRc3J0YwZhcHBfaWQQMjIyMDM5MTc4ODIwMDg5MgABHkhkqiTCv_YZ1GXUEz2AWp4CzdP1-s6i7U7twYETm4sjhHnFGjOGOlNI4r2B_aem_0PV23TCLNKo2PJKYGt25gQ"}</t>
  </si>
  <si>
    <t>Orkater &amp; Invites</t>
  </si>
  <si>
    <t>Eccentric symphonies of chaos and wonder</t>
  </si>
  <si>
    <t>https://downtherabbithole.nl/programma/orkater-invites</t>
  </si>
  <si>
    <t>{"Instagram": "https://www.instagram.com/orkater/", "Facebook": "https://www.facebook.com/Orkater/?locale=nl_NL", "YouTube": "https://www.youtube.com/@StichtingOrkater", "Website": "https://orkater.nl/"}</t>
  </si>
  <si>
    <t>the CROQUE Madame REVUE by MAISON the FAUX</t>
  </si>
  <si>
    <t>Immersive cabaret where chaos dazzles.</t>
  </si>
  <si>
    <t>https://downtherabbithole.nl/programma/the-croque-madame-revue-by-maison-the-faux</t>
  </si>
  <si>
    <t>{"Instagram": "http:// https://www.instagram.com/maisonthefaux/?hl=en", "Twitter": "https://www.maisonthefaux.com/"}</t>
  </si>
  <si>
    <t>Alice Olsthoorn</t>
  </si>
  <si>
    <t>Queer rave's chaotic hyperpop hurricane</t>
  </si>
  <si>
    <t>trash-rave</t>
  </si>
  <si>
    <t>https://open.spotify.com/artist/70FnoRkW1YHoYdGU5flixz</t>
  </si>
  <si>
    <t>https://downtherabbithole.nl/programma/alice-olsthoorn</t>
  </si>
  <si>
    <t>{"Instagram": "https://www.instagram.com/aliceolsthoorn/", "YouTube": "https://www.youtube.com/aliceolsthoorn", "Spotify": "https://open.spotify.com/artist/70FnoRkW1YHoYdGU5flixz?si=SaFCFwW5RTOatJwv1lOJRg", "SoundCloud": "https://soundcloud.com/alice-olsthoorn"}</t>
  </si>
  <si>
    <t>DJ Shahmaran</t>
  </si>
  <si>
    <t>Queer rhythms, bass-driven healing force</t>
  </si>
  <si>
    <t>https://downtherabbithole.nl/programma/dj-shahmaran</t>
  </si>
  <si>
    <t>De geavanceerde ritmes, vlijmscherpe percussie en rauwe texturen vliegen je om de oren tijdens een set van DJ Shahmaran, wat niet wil zeggen dat dit Rotterdamse talent alleen maar voor de gebalde vuist gaat. Deze veelzijdige alleskunner uit de queer undergroundscene ziet clubmuziek juist als een expressief en emotioneel medium ten top, waarin de hevige bass als balsem voor de ziel dient. Hun sets op grote festivals en in intieme clubsettings hebben DJ Shahmarans helende missie aangescherpt: hun extreem dansbare tracks zijn bijzonder persoonlijke uitingen van een unieke clubartiest.</t>
  </si>
  <si>
    <t>{"Instagram": "https://www.instagram.com/dj_shahmaran/", "Facebook": "https://www.facebook.com/DJShahmaran/", "SoundCloud": "https://soundcloud.com/djshahmaran"}</t>
  </si>
  <si>
    <t>Elena Colombi</t>
  </si>
  <si>
    <t>A boundary-pushing DJ and producer known for her eclectic and adventurous sets.</t>
  </si>
  <si>
    <t>Elena Colombi is an Italian DJ and producer renowned for her genre-defying sets that traverse experimental, industrial, and electronic landscapes. Based in London, she has gained recognition for her innovative approach to music curation and her ability to craft immersive sonic journeys.</t>
  </si>
  <si>
    <t>https://open.spotify.com/artist/7kZnag3HL8EPHsXSoYBpgU</t>
  </si>
  <si>
    <t>Elena Colombi's fearless exploration of experimental and industrial sounds, combined with her skillful DJing, has made her a standout figure in the electronic music scene. Her sets are celebrated for their unpredictability and depth, blending obscure tracks with cutting-edge electronic music.</t>
  </si>
  <si>
    <t>https://downtherabbithole.nl/programma/elena-colombi</t>
  </si>
  <si>
    <t>{"Instagram": "https://www.instagram.com/elenacolombi/", "Facebook": "https://www.facebook.com/elenacolombi.music/", "YouTube": "https://www.youtube.com/channel/UCciZZCgKfHeu99C5kKYFXwQ", "Spotify": "https://open.spotify.com/artist/7kZnag3HL8EPHsXSoYBpgU", "SoundCloud": "https://soundcloud.com/elenacolombi", "Website": "https://www.elenacolombi.com/"}</t>
  </si>
  <si>
    <t>JASON</t>
  </si>
  <si>
    <t>electro</t>
  </si>
  <si>
    <t>[using festival bio due to a lack of publicly available data] Never underestimate the power of the pitch. With his flawless instinct for rhythm, bounce, and the finest uptempo electro tunes, JASON has your hips under his effortless control at the CROQUE Madame. This dream setting with its perfect dance floor is tailor-made for this rising selector from Amsterdam, who loves to draw from as many groove sources as possible. JASON holds his own just as smoothly in buzzing spots like RADION and Club RAUM, as he does during Striptopia nights or an equally sizzling hot b2b with CROQUE resident YoungWoman.</t>
  </si>
  <si>
    <t>https://downtherabbithole.nl/programma/jason</t>
  </si>
  <si>
    <t>Onderschat nooit de power van de pitch. Met zijn feilloze instinct voor ritme, bounce en de fijnste uptempo electrotunes heeft JASON je heupen willoos onder controle in the CROQUE Madame. Dit droomdecor met dito dansvloer is geknipt voor deze aanstormende selector uit Amsterdam, die graag uit zoveel mogelijk groove-vaatjes tapt. JASON staat namelijk net zo soepel zijn mannetje in buzzy spots als RADION en Club RAUM, als tijdens Striptopia-nights of een al even dampend hete b2b met CROQUE-resident YoungWoman.</t>
  </si>
  <si>
    <t>Never underestimate the power of the pitch. With his flawless instinct for rhythm, bounce, and the finest uptempo electro tunes, JASON has your hips under his effortless control at the CROQUE Madame. This dream setting with its perfect dance floor is tailor-made for this rising selector from Amsterdam, who loves to draw from as many groove sources as possible. JASON holds his own just as smoothly in buzzing spots like RADION and Club RAUM, as he does during Striptopia nights or an equally sizzling hot b2b with CROQUE resident YoungWoman.</t>
  </si>
  <si>
    <t>{"Instagram": "https://www.instagram.com/jasonvgalen?igsh=MXV5czZ2Zmo2a3J6eA%3D%3D"}</t>
  </si>
  <si>
    <t>MAYO</t>
  </si>
  <si>
    <t>Hypnotic beats from the dark side.</t>
  </si>
  <si>
    <t>EBM and techno</t>
  </si>
  <si>
    <t>[using festival bio due to a lack of publicly available data] This self-proclaimed misfit of the Amsterdam club scene deserves to be in the spotlight. With her self-built modular synthesizer, MAYO composes overwhelming club bangers that evoke dark and mysterious worlds. Her punky tracks are hypnotic distortions of EBM and techno, a unique blend that finds eager audiences on dance floors both at home and abroad. The recent album *Rebirth* wraps sinister drums and gritty synths into poetic, spellbinding tracks that steadily elevate your heartbeat on the dance floor.
Image by Kees de Klein</t>
  </si>
  <si>
    <t>https://open.spotify.com/artist/2DJJyrhB4PVfAfDFYoVkkd</t>
  </si>
  <si>
    <t>https://downtherabbithole.nl/programma/mayo</t>
  </si>
  <si>
    <t>This self-proclaimed misfit of the Amsterdam club scene deserves to be in the spotlight. With her self-built modular synthesizer, MAYO composes overwhelming club bangers that evoke dark and mysterious worlds. Her punky tracks are hypnotic distortions of EBM and techno, a unique blend that finds eager audiences on dance floors both at home and abroad. The recent album *Rebirth* wraps sinister drums and gritty synths into poetic, spellbinding tracks that steadily elevate your heartbeat on the dance floor.
Image by Kees de Klein</t>
  </si>
  <si>
    <t>{"Instagram": "https://www.instagram.com/originalmayo/", "Spotify": "https://open.spotify.com/artist/2DJJyrhB4PVfAfDFYoVkkd?si=FtovLhpMT7mEk30wArBgBQ", "SoundCloud": "https://soundcloud.com/mayotunes"}</t>
  </si>
  <si>
    <t>Nicolini</t>
  </si>
  <si>
    <t>Fever-dream funk for restless feet</t>
  </si>
  <si>
    <t>[using festival bio due to a lack of publicly available data] Nicolini is the latest alter ego of Nic Mauskovic, the Amsterdam mastermind behind The Mauskovic Dance Band, known for their quirky blend of dubby wave, mutant dancehall, and other clattering club noise. His so-called Penni Funk is a delightful DIY mishmash of thundering drums, cheap synths, and sly basslines that constantly seem on the verge of spinning out of control. During his live shows, this crackling club style transforms into an unhinged, psychedelic fever dream. Or better yet: top-tier entertainment for the masses, where swaying and grinding take center stage.</t>
  </si>
  <si>
    <t>https://open.spotify.com/artist/2XKOlTGvKbfnJaUgYvwXey</t>
  </si>
  <si>
    <t>https://downtherabbithole.nl/programma/nicolini</t>
  </si>
  <si>
    <t>Nicolini is het nieuwste alter ego van Nic Mauskovic, het Amsterdamse brein achter The Mauskovic Dance Band, die grossiert in een eigenzinnige mix van dubby wave, mutant dancehall en ander rammelend clublawaai. Zijn zogenaamde Penni Funk is een heerlijke DIY-mengelmoes van denderende drums, goedkope synths en sluwe baslijnen die constant uit de bocht dreigen te vliegen. Tijdens zijn liveshows leidt die cracky clubstijl tot een van de pot gerukte, psychedelische koortsdroom. Of beter: volksvertier van de hoogste orde, waarbij het vooral wiebelen en schuren geblazen is.</t>
  </si>
  <si>
    <t>Nicolini is the latest alter ego of Nic Mauskovic, the Amsterdam mastermind behind The Mauskovic Dance Band, known for their quirky blend of dubby wave, mutant dancehall, and other clattering club noise. His so-called Penni Funk is a delightful DIY mishmash of thundering drums, cheap synths, and sly basslines that constantly seem on the verge of spinning out of control. During his live shows, this crackling club style transforms into an unhinged, psychedelic fever dream. Or better yet: top-tier entertainment for the masses, where swaying and grinding take center stage.</t>
  </si>
  <si>
    <t>{"Instagram": "https://www.instagram.com/nicolini_skinni/", "Spotify": "https://open.spotify.com/artist/2XKOlTGvKbfnJaUgYvwXey?si=qcjVdzXdQpGGigqlSz4o2w", "SoundCloud": "https://soundcloud.com/nicoliniskinni4people"}</t>
  </si>
  <si>
    <t>Queenie</t>
  </si>
  <si>
    <t>Silky vocals over UK garage gold</t>
  </si>
  <si>
    <t>garage</t>
  </si>
  <si>
    <t>[using festival bio due to a lack of publicly available data] If there's one thing the British excel at, it's blending stunning vocal performances into the most delightful club styles. The golden era of house divas and sultry R&amp;B singers over lush UK garage is making a full comeback when you listen to Queenie. This multi-talent from London produces her own tracks, each an electronic gem that gives ample space to her silky-smooth voice. In her dynamic productions, you can hear not only a love for garage but also a passion for the sensuality of jazz and the beauty of classical music.</t>
  </si>
  <si>
    <t>https://open.spotify.com/artist/3HB1a9aStiIhcH7ycACyx7</t>
  </si>
  <si>
    <t>https://downtherabbithole.nl/programma/queenie</t>
  </si>
  <si>
    <t>Als er iets is waar de Britten goed in zijn, dan is de verwerking van prachtige zangpartijen in de heerlijkste clubstijlen. Die hoogtijdagen van housediva's en zwoele R&amp;amp;B-zangeressen over wulpse UK garage komen weer helemaal terug als je naar Queenie luistert. Dit multitalent uit Londen produceert haar eigen tracks, stuk voor stuk elektronische pareltjes die ruim spel geven aan haar zijdezachte stem. In haar beweeglijke producties hoor je niet alleen een voorliefde voor garage, maar ook een passie voor de sensualiteit van jazz en de pracht van klassiek.</t>
  </si>
  <si>
    <t>If there's one thing the British excel at, it's blending stunning vocal performances into the most delightful club styles. The golden era of house divas and sultry R&amp;B singers over lush UK garage is making a full comeback when you listen to Queenie. This multi-talent from London produces her own tracks, each an electronic gem that gives ample space to her silky-smooth voice. In her dynamic productions, you can hear not only a love for garage but also a passion for the sensuality of jazz and the beauty of classical music.</t>
  </si>
  <si>
    <t>{"Instagram": "https://www.instagram.com/missqueeniexo/", "YouTube": "https://www.youtube.com/@missqueeniexo", "Spotify": "https://open.spotify.com/artist/3HB1a9aStiIhcH7ycACyx7?si=uJTZ7absTWSdUSYZbhOq9Q"}</t>
  </si>
  <si>
    <t>Sam Quealy</t>
  </si>
  <si>
    <t>A bold and eclectic artist blending hyperpop, electronic beats, and avant-garde aesthetics.</t>
  </si>
  <si>
    <t>Hyperpop/Electronic</t>
  </si>
  <si>
    <t>Sam Quealy is an Australian artist known for her genre-defying sound that fuses hyperpop, electronic music, and experimental elements. Based in Paris, she has gained recognition for her high-energy performances and unique artistic vision.</t>
  </si>
  <si>
    <t>https://open.spotify.com/artist/0GLGeVG3XTA2KmlmAd05T8</t>
  </si>
  <si>
    <t>Sam Quealy's music combines hyperpop's futuristic energy with experimental electronic textures, creating a vibrant and avant-garde sound. Her Paris-based artistry and dynamic stage presence have garnered attention in the global music scene.</t>
  </si>
  <si>
    <t>https://downtherabbithole.nl/programma/sam-quealy</t>
  </si>
  <si>
    <t>{"Instagram": "https://www.instagram.com/samquealy/", "Facebook": "https://www.facebook.com/p/Sam-quealy-music-100069181204638/", "YouTube": "https://www.youtube.com/channel/UCfejhQhV4XoRBJPp4juutkw", "Spotify": "https://open.spotify.com/artist/0GLGeVG3XTA2KmlmAd05T8?si=ibXWa_OoQvqDEPkfRh_MzA", "SoundCloud": "https://soundcloud.com/user-544846153"}</t>
  </si>
  <si>
    <t>TOCCORORO</t>
  </si>
  <si>
    <t>Queer rave alchemist of Latin beats</t>
  </si>
  <si>
    <t>https://downtherabbithole.nl/programma/toccororo</t>
  </si>
  <si>
    <t>{"Instagram": "https://www.instagram.com/toccororo/?hl=es", "SoundCloud": "https://soundcloud.com/toccororo"}</t>
  </si>
  <si>
    <t>TWIENA</t>
  </si>
  <si>
    <t>Polyrhythmic techno, rooted and untamed.</t>
  </si>
  <si>
    <t>techno</t>
  </si>
  <si>
    <t>[using festival bio due to a lack of publicly available data] From Amsterdam, TWIENA creates her own musical world that honors her Vietnamese roots. Her addictive blend of hypnotic techno and experimental club tracks is a polyrhythmic fusion of styles and sounds. As a resident at Club RAUM, she transports dance floors to distant realms, and as a sought-after guest in iconic clubs, she travels the world herself. This is precisely her vision: a beautiful balance between precision and chaos, weaving the richness of global club culture into powerful and brilliant sets.</t>
  </si>
  <si>
    <t>https://open.spotify.com/artist/5vDKE9b8dWuaJMPNg4c8qS</t>
  </si>
  <si>
    <t>https://downtherabbithole.nl/programma/twiena</t>
  </si>
  <si>
    <t>Vanuit Amsterdam schept TWIENA een eigen muzikale wereld waarmee ze haar Vietnamese roots eert. Haar verslavende blend van hypnotiserende techno en experimentele clubtracks is een polyritmische samensmelting van stijlen en klanken. Als resident bij Club RAUM transporteert ze dansvloeren naar verre oorden en als graag geziene gast in iconische clubs reist ze de wereld zelf ook af. Precies dat is haar visie: een prachtige balans tussen precisie en chaos, die de rijkdom van de globale clubcultuur in krachtige en briljante sets verwerkt.</t>
  </si>
  <si>
    <t>From Amsterdam, TWIENA creates her own musical world that honors her Vietnamese roots. Her addictive blend of hypnotic techno and experimental club tracks is a polyrhythmic fusion of styles and sounds. As a resident at Club RAUM, she transports dance floors to distant realms, and as a sought-after guest in iconic clubs, she travels the world herself. This is precisely her vision: a beautiful balance between precision and chaos, weaving the richness of global club culture into powerful and brilliant sets.</t>
  </si>
  <si>
    <t>{"Instagram": "https://www.instagram.com/twiena/", "Spotify": "https://open.spotify.com/artist/5vDKE9b8dWuaJMPNg4c8qS?si=u9wrEwfxSnm0qnPt9xqcjA", "SoundCloud": "https://soundcloud.com/twiena"}</t>
  </si>
  <si>
    <t>YoungWoman</t>
  </si>
  <si>
    <t>Hypercharged chaos, straight from the decks.</t>
  </si>
  <si>
    <t>[using festival bio due to a lack of publicly available data] It's like chugging a tray of energy drinks: that's what it feels like to dive into the musical onslaught of YoungWoman. The Egypt-born, Amsterdam-based DJ, producer, and radio host takes you on a rollercoaster ride through the wildest club styles. Think pounding dubstep, hyperactive gabber, and overwhelming rave bangers colliding with audible glee. The adrenaline seeps so deeply into your body that it feels like waking from a trance when the next DJ steps up to the decks.</t>
  </si>
  <si>
    <t>https://downtherabbithole.nl/programma/youngwoman</t>
  </si>
  <si>
    <t>Alsof je een traytje energydrink achterover hebt getikt: zo voelt het om je in de muzikale barrage van YoungWoman te storten. De in Amsterdam woonachtige Egyptische dj, producer en radiohost neemt je mee op een achtbaanrit langs de meest gestoorde clubstijlen. Denk rammende dubstep, hyperactieve gabber en overweldigende ravebangers die met hoorbaar plezier tegen elkaar knallen. De adrenaline gaat zo diep in je lijf zitten dat het voelt alsof je uit een roes ontwaakt zodra de volgende dj achter de decks aanschuift.</t>
  </si>
  <si>
    <t>It's like chugging a tray of energy drinks: that's what it feels like to dive into the musical onslaught of YoungWoman. The Egypt-born, Amsterdam-based DJ, producer, and radio host takes you on a rollercoaster ride through the wildest club styles. Think pounding dubstep, hyperactive gabber, and overwhelming rave bangers colliding with audible glee. The adrenaline seeps so deeply into your body that it feels like waking from a trance when the next DJ steps up to the decks.</t>
  </si>
  <si>
    <t>{"Instagram": "https://www.instagram.com/youngw0man/", "YouTube": "https://www.youtube.com/@young_woman", "SoundCloud": "https://soundcloud.com/youngwoman"}</t>
  </si>
  <si>
    <t>The Space Choir</t>
  </si>
  <si>
    <t>Cosmic harmonies, unity through song.</t>
  </si>
  <si>
    <t>https://downtherabbithole.nl/programma/the-space-choir</t>
  </si>
  <si>
    <t>{"Instagram": "https://www.instagram.com/thespacechoir/", "Facebook": "https://www.facebook.com/p/The-Space-Choir-61556119319138/", "YouTube": "https://www.youtube.com/channel/UCP8L2GkV9hdPIHOkxc1zqqA", "Website": "https://thespacechoir.com/"}</t>
  </si>
  <si>
    <t>Club Coco</t>
  </si>
  <si>
    <t>Endless Summer, Powered by Rhythm</t>
  </si>
  <si>
    <t>Idyllische Veldje</t>
  </si>
  <si>
    <t>https://downtherabbithole.nl/programma/club-coco</t>
  </si>
  <si>
    <t>{"Instagram": "https://www.instagram.com/cocomaria___/", "SoundCloud": "https://soundcloud.com/cocomariamusic", "Website": "https://cocomaria.net/"}</t>
  </si>
  <si>
    <t>Dansworkshop: Meet Your Animal</t>
  </si>
  <si>
    <t>Unleash the wild rhythm within.</t>
  </si>
  <si>
    <t>https://downtherabbithole.nl/programma/dansworkshop-meet-your-animal</t>
  </si>
  <si>
    <t>Discos Horizontes &amp; Jamaican Jukebox</t>
  </si>
  <si>
    <t>Tropical Rhythms, Dubbed and Dusted</t>
  </si>
  <si>
    <t>Jamaica</t>
  </si>
  <si>
    <t>[using festival bio due to a lack of publicly available data] Steady daytime dance fix: the summery tunes of Discos Horizontes &amp; Jamaican Jukebox. These seemingly intertwined DJ teams still differ enough from one another. The former travels the globe in search of the most irresistible tropical vibes: from feverish cumbia and Caribbean compas to Thai luk-thung, funky afrobeat, Turkish psychedelia, Jamaican dub, and everything in between. That dub also resurfaces with Jamaican Jukebox, alongside much more from the musical history of the Caribbean island: from mento to calypso, from rocksteady to lovers rock, from roots reggae to dancehall. Irie!</t>
  </si>
  <si>
    <t>https://downtherabbithole.nl/programma/discos-horizontes-jamaican-jukebox</t>
  </si>
  <si>
    <t>Vaste overdagse dansprik: de zomerse plaatjes van Discos Horizontes &amp;amp; Jamaican Jukebox. Het zijn schijnbaar met elkaar vergroeide dj-teams die toch genoeg van elkaar verschillen. Eerstgenoemden reizen de wereld af voor de allerlekkerste tropische vibes: van koortsachtige cumbia en Caribische compass tot Thaise luk-thung, funky afrobeat, Turkse psychedelica, Jamaicaanse dub en alles daartussenin. Die dub hoor je ook weer terug bij Jamaican Jukebox, naast nog veel meer uit de muziekhistorie van het Caribische eiland: van mento tot calypso, van rocksteady tot loversrock, van rootsreggae tot dancehall. Irie!</t>
  </si>
  <si>
    <t>Steady daytime dance fix: the summery tunes of Discos Horizontes &amp; Jamaican Jukebox. These seemingly intertwined DJ teams still differ enough from one another. The former travels the globe in search of the most irresistible tropical vibes: from feverish cumbia and Caribbean compas to Thai luk-thung, funky afrobeat, Turkish psychedelia, Jamaican dub, and everything in between. That dub also resurfaces with Jamaican Jukebox, alongside much more from the musical history of the Caribbean island: from mento to calypso, from rocksteady to lovers rock, from roots reggae to dancehall. Irie!</t>
  </si>
  <si>
    <t>{"Instagram": "https://www.instagram.com/discoshorizontes/"}</t>
  </si>
  <si>
    <t>Knits &amp; Notes</t>
  </si>
  <si>
    <t>Where Beats Weave and Threads Dance</t>
  </si>
  <si>
    <t>https://downtherabbithole.nl/programma/knits-notes</t>
  </si>
  <si>
    <t>{"Instagram": "https://www.instagram.com/knits.n.notes/", "YouTube": "https://www.youtube.com/@knitsandnotes", "Website": "https://knitsandnotes.nl/"}</t>
  </si>
  <si>
    <t>Rabbit Radio: Liza v/d Brink &amp; Vera Siemons</t>
  </si>
  <si>
    <t>Dancefloor alchemists of queer euphoria</t>
  </si>
  <si>
    <t>https://downtherabbithole.nl/programma/rabbit-radio-liza-vd-brink-vera-siemons</t>
  </si>
  <si>
    <t>{"Instagram": "https://www.instagram.com/verasiemons/"}</t>
  </si>
  <si>
    <t>Rabbit Radio: INDIE GLORIA</t>
  </si>
  <si>
    <t>Indie anthems with divine chaos.</t>
  </si>
  <si>
    <t>indie</t>
  </si>
  <si>
    <t>https://downtherabbithole.nl/programma/rabbit-radio-indie-gloria</t>
  </si>
  <si>
    <t>{"Instagram": "https://www.instagram.com/indiegloria/"}</t>
  </si>
  <si>
    <t>Rabbit Radio: Arnold Scheepmaker</t>
  </si>
  <si>
    <t>Indie beats igniting midnight skies</t>
  </si>
  <si>
    <t>https://downtherabbithole.nl/programma/rabbit-radio-arnold-scheepmaker</t>
  </si>
  <si>
    <t>DJ Arnold Scheepmaker is niet voor niets al jaren een hoeksteen in de nachtagenda van Down The Rabbit Hole. Alleen het beste voor Rabbit Radio in Fuzzy Lop: deze selector extraordinaire is het brein achter de reizende clubnights Kiss All Hipsters en 110% Indie, die alternatieve dansvloeren in binnen- en buitenland tot vroeg in de ochtend gevuld houden. Wie zijn legendarische Noodlanding-nachten ook nog kent, is hier sowieso goed voor kwaliteitsindie deluxe, vakkundig doorsneden met hiphop, pop, electronic en alle denkbare cross-overs daartussen. Ready for lift-off?</t>
  </si>
  <si>
    <t>{"Instagram": "https://www.instagram.com/arnoldscheepmaker/"}</t>
  </si>
  <si>
    <t>Channeling chaos into floating art.</t>
  </si>
  <si>
    <t>[using festival bio due to a lack of publicly available data] Down The Rabbit Hole is a recognized natural remedy for stress and other mental woes. Take the Burn Out Clinic by David Bade x Bosch Parade at De Waterkant, the wellness retreat with empathetic guides and fellow burned-out companions, where you pour all your worries into a self-made artwork. Then simply give that frown a splash: place your crafted creation on the conveyor belt and watch all your problems and frustrations tumble from great heights into floating hospital beds, which together form a giant sculpture on the lake. Feeling better?</t>
  </si>
  <si>
    <t>https://downtherabbithole.nl/programma/david-bade-x-bosch-parade-burn-out-clinic</t>
  </si>
  <si>
    <t>Down The Rabbit Hole is een erkend natuurgeneesmiddel tegen stress en andere mentale malaise. Neem Burn Out Clinic van David Bade x Bosch Parade aan De Waterkant, het kuuroord met meelevende begeleiders en opgebrande lotgenoten, waar je al je zorgen in een zelfgemaakt kunstwerk giet. En dan geef je die frons gewoon een plons: zet je knutselkunst op de lopende band en zie al je problemen en frustraties van grote hoogte in dobberende ziekenhuisbedden vallen, die samen weer een reuzensculptuur in het meer vormen. Beter?</t>
  </si>
  <si>
    <t>Down The Rabbit Hole is a recognized natural remedy for stress and other mental woes. Take the Burn Out Clinic by David Bade x Bosch Parade at De Waterkant, the wellness retreat with empathetic guides and fellow burned-out companions, where you pour all your worries into a self-made artwork. Then simply give that frown a splash: place your crafted creation on the conveyor belt and watch all your problems and frustrations tumble from great heights into floating hospital beds, which together form a giant sculpture on the lake. Feeling better?</t>
  </si>
  <si>
    <t>Sound of Surf Shack</t>
  </si>
  <si>
    <t>Endless grooves for sun-soaked souls</t>
  </si>
  <si>
    <t>https://downtherabbithole.nl/programma/sound-of-surf-shack</t>
  </si>
  <si>
    <t>Bij Sound of Surf Shack duren de zomerdagen eindeloos: met een dj-tagteam van wereldklasse bak je het hele weekend bruin met zonnige tunes voor all-day strandfeestjes deluxe aan het meer.
Surf Shack, dagelijks 13:00-01:00, donderdag 18:00-23:00</t>
  </si>
  <si>
    <t>Yoga</t>
  </si>
  <si>
    <t>Rhythms of breath, flow, and soul</t>
  </si>
  <si>
    <t>https://downtherabbithole.nl/programma/yoga</t>
  </si>
  <si>
    <t>Of je nu extra crunchy wakker bent geworden of sinds het ochtendgloren staat te trappelen voor actie, yoga naast de Surf Shack is de perfecte kickstart van je dag. Op de vleugels van helende drums en dynamic meditation brengt Vinyasa Flow-yoga je adem en bewegingen in balans, als vanzelf gevolgd door je lichaam en geest. Ook een aanrader als oefeningen als de Krijger en Neerwaartse Hond je niks zeggen, want bij het Samana Yoga Center Amsterdam zijn beginners net zo welkom als gevorderden.&amp;nbsp;
Naast Surf Shack, dagelijks 10:00-13:00</t>
  </si>
  <si>
    <t>Upside Down The Rabbit Hole</t>
  </si>
  <si>
    <t>Reality Refracted, Soundscapes Inverted.</t>
  </si>
  <si>
    <t>https://downtherabbithole.nl/programma/upside-down-the-rabbit-hole</t>
  </si>
  <si>
    <t>Sticks</t>
  </si>
  <si>
    <t>Architect of Dutch hip-hop legacy</t>
  </si>
  <si>
    <t>Hip-hop/Rap</t>
  </si>
  <si>
    <t>Sticks is a pioneering Dutch rapper who began his career with the influential rap group Opgezwolle and later achieved success as a solo artist and member of supergroups like Fakkelbrigade and Great Minds.</t>
  </si>
  <si>
    <t>Sticks is widely regarded as one of the most influential figures in Dutch hip-hop, with a career that showcases versatility and innovation both as a performer and cultural contributor.</t>
  </si>
  <si>
    <t/>
  </si>
  <si>
    <t>Florence Welch probeert uit alle macht met lichaam en geest in het reine te komen. Als een muzikale exorcist duikt ze in de wereld van hekserij en folkloristische horror, resulterend in haar nieuwste album ‘Everybody Scream’. Roodharige furie Welch zingt en schreeuwt zich een weg naar genezing, bijvoorbeeld op ‘One of the Greats’, waar die stem-uit-duizenden verrassend mooi uitkomt op een donkergrungy gitaarakkoordentapijt. Dat smaakt bitterzoet en naar meer. Verheug je op een diversere, maar vertrouwd uitbundige setlist: Florence + The Machine is een alom geliefde, oer- en oersterke headliner.
Foto door De Wilde</t>
  </si>
  <si>
    <t>Florence Welch is striving with all her might to come to terms with body and mind. Like a musical exorcist, she delves into the world of witchcraft and folkloric horror, resulting in her latest album, ‘Everybody Scream.’ Red-haired fury Welch sings and screams her way to healing, as on ‘One of the Greats,’ where that unmistakable voice shines beautifully against a dark, grungy guitar chord backdrop. It’s bittersweet and leaves you wanting more. Look forward to a more diverse yet familiarly exuberant setlist: Florence + The Machine is a universally beloved, primal, and incredibly powerful headliner.
Photo by De Wilde</t>
  </si>
  <si>
    <t>Rap’s introspective trailblazer, genre-defying brilliance.</t>
  </si>
  <si>
    <t>Kleine meisjes worden groot. Little Simz, de als Simbi Ajikawo geboren Londense artieste, rapper en actrice, is vijftien jaar na haar eerste mixtapes beslist uitgegroeid tot Big Simz. Een reis die een flinke boost kreeg met haar doorbraakalbum ‘Sometimes I Might Be Introvert’ (2021), vol klassiek geworden tracks als ‘Woman’ en ‘Point and Kill’, ook dankzij de hoog overvliegende zang van soulmaatje Obongjayar. Twee albums verder is Simz niet meer weg te denken als stralende ster van een geheel eigen muzikaal universum, als lichtend voorbeeld voor kleine meisjes everywhere.
Foto door Thibaut Grevet</t>
  </si>
  <si>
    <t>Soms overstijgt een band alle goedbedoelde genrenamen en termen. Én werelden: de filmische klanken van ‘Intro’ lenen zich voor zowel schaatswedstrijden als meerdere Top Gear-avonturen. Die breedgedragen sound zegt alles over het fingerspitzengefühl van dit dreampoptrio, dat zich na ‘I See You’ (2017) stortte op soloalbums en draaitafeluitspattingen. Dat creatieve spreiden der vleugels verruimt de geest, maar soms gaat er niets boven de goddelijke som der delen met, wie weet, nieuw werk. Twee bescheiden kusjes? Nee, dit weerzien wordt een omhelzing van formaat: welkom terug, The xx!</t>
  </si>
  <si>
    <t>Als frontman van Talking Heads maakte David Byrne pop heerlijk weird. En in zijn solocarrière vindt de legendarische muzikant zichzelf steeds opnieuw uit. ‘American Utopia’ (2018) was zijn middelvinger naar Trumps Amerika, met politiek geëngageerde nummers die het belang van positiviteit onderstrepen. Zijn recentste album ‘Who Is The Sky?’ biedt een extra dosis zonneschijn met vrolijke songs over hoe genot in de kleinste dingetjes zit. Ironisch genoeg voert Byrne dat live doorgaans groots op. Dit belooft een uniek feestje te worden.
Foto door Shervin Lainez</t>
  </si>
  <si>
    <t>Nick Littlemore en Luke Steele doen met adellijke speelsheid precies waar ze zin in hebben, al dan niet sparrend in studio’s met Jay-Z, Beyoncé, Dua Lipa of Elton John. Hoofdvoorwaarde: het moet dansbaar zijn, zeker nu het electropopduo terugkeert naar de festivalvelden met hun vierde langspeler ‘Ask That God’ (2024). De Talk Talk-baslijn in ‘Changes’, de verliefdheidsvlinders in ‘The Feeling You Get’, het soms Bee Gees-achtige zangambacht en dat extravagante, onovertroffen livespektakel van Lord Littlemore en Emperor Steele: Empire Of The Sun activeert moeiteloos je blije ik.</t>
  </si>
  <si>
    <t>Nick Littlemore and Luke Steele, with a noble playfulness, do exactly what they feel like, whether sparring in studios with Jay-Z, Beyoncé, Dua Lipa, or Elton John. The main condition: it has to be danceable, especially now that the electropop duo returns to the festival stages with their fourth album, ‘Ask That God’ (2024). The Talk Talk bassline in ‘Changes,’ the butterflies of infatuation in ‘The Feeling You Get,’ the occasionally Bee Gees-like vocal craftsmanship, and the extravagant, unparalleled live spectacle of Lord Littlemore and Emperor Steele: Empire Of The Sun effortlessly activates your happy self.</t>
  </si>
  <si>
    <t>De Zuid-Londense rapper Loyle Carner is een woordkunstenaar zoals je ze maar een paar keer per generatie tegenkomt. Zijn muziek is een soepel amalgaam van soul, jazz en softrock, dat laatste sinds zijn recentste album ‘Hopefully !’ – een plaat waarop de begin-dertiger hoorbaar worstelt met de do’s en don’ts van het verse vaderschap. Een thema dat zich goed leent voor zijn bekentenisrap vol poëtische vondsten en kalme flow, die hem onlangs al een headlinespot op Glastonbury en een dubbel uitpuilende AFAS Live opleverde.</t>
  </si>
  <si>
    <t>The South London rapper Loyle Carner is a wordsmith of the kind you encounter only a few times per generation. His music is a smooth amalgam of soul, jazz, and soft rock—the latter since his most recent album, 'Hopefully !'—a record where the thirty-something audibly grapples with the do's and don'ts of newfound fatherhood. A theme that lends itself well to his confessional rap filled with poetic insights and a calm flow, which recently earned him a headline spot at Glastonbury and a double sold-out AFAS Live.</t>
  </si>
  <si>
    <t>Dit stijlvol geklede Londense vijftal werkte bedachtzaam en singlegewijs naar zijn eerste succesalbum toe en kwam al rap met het tweede: ‘From The Pyre’. Hierop blinken Abigail Morris en consorten andermaal uit in hun ongrijpbare, barokke poprock, met een gedoseerd gevoel voor drama en statement. The Last Dinner Party ademt associaties met Kate Bush, David Bowie en Queen, en opende voor The Rolling Stones en Nick Cave. Geen misselijke namen! De show van deze geboren liveband is een dik onderstreepte happening in je konijnenagenda.
Beeld door Laura Marie Cieplik</t>
  </si>
  <si>
    <t>This stylishly dressed London quintet worked thoughtfully and single by single towards their first successful album and quickly followed up with the second: ‘From The Pyre’. On this record, Abigail Morris and company once again excel in their elusive, baroque pop rock, with a measured sense of drama and statement. The Last Dinner Party evokes associations with Kate Bush, David Bowie, and Queen, and has opened for The Rolling Stones and Nick Cave. Not exactly minor names! The show by this natural-born live band is a must-highlight event in your calendar.
Image by Laura Marie Cieplik</t>
  </si>
  <si>
    <t>Houd je van blues én van psychedelica? Smelt je bij progressive rock en krijg je knikkende knieën van stoner? Dan zit je geheid goed bij All Them Witches, het hard rockende trio (voorheen viertal) uit Nashville, dat van genrehopping zijn artistieke levensdoel heeft gemaakt. Alle voornoemde piketpaaltjes worden daarbij hartstochtelijk gekoesterd en dan zijn we er nog lang niet. Toch slaagt de band erin om al ettelijke albums en optredens lang een herkenbaar eigen smoel op te zetten, dat ook menig rabbit zal betoveren.
Foto door Dylan Hanley</t>
  </si>
  <si>
    <t>Sascha Ring ontpopte zich zo’n 25 jaar geleden in de Berlijnse dancescene, toen de Duitse hoofdstad volledig in het teken stond van de minimal techno. Als Apparat bezielde hij dat ingetogen genre met complexere ritmes en diepere emoties. Sindsdien staat hij garant voor melodieuze en meeslepende elektronische muziek, die moeiteloos laveert tussen ambient, pop en techno. Met de heren van Modeselektor vormde hij supergroep Moderat en serveerde hij dance op blockbusterschaal. En als soloproject is Apparat nog altijd een synoniem voor immersieve en vooruitstrevende dance die ontroert en overdondert.</t>
  </si>
  <si>
    <t>Toen Beirut werd gevraagd door de Zweedse circusgroep Kompani Giraff om hun nieuwste show ‘A Study of Losses’ van een soundtrack te voorzien, resulteerde dat in een heerlijke worp puntgave poppareltjes waarin het wemelt van sepia-getinte melancholie. Overigens zijn we sinds debuutalbum ‘Gulag Orkestar’ (2006) zulke emotionele koorddansacts van Zach Condon en zijn band gewend. Al bijna twee decennia staat hij garant voor schilderachtige en folky popliedjes, die blijkbaar niet alleen harten, maar ook acrobaten in vervoering kunnen brengen.</t>
  </si>
  <si>
    <t>When Beirut was asked by the Swedish circus group Kompani Giraff to provide a soundtrack for their latest show ‘A Study of Losses,’ it resulted in a delightful collection of flawless pop gems brimming with sepia-tinged melancholy. Incidentally, since the debut album ‘Gulag Orkestar’ (2006), we’ve come to expect such emotional tightrope acts from Zach Condon and his band. For nearly two decades, he has been delivering picturesque and folky pop songs that apparently can captivate not only hearts but also acrobats.</t>
  </si>
  <si>
    <t>Wie zegt dat country dood is? CMAT bewijst al ruim drie albums het tegendeel. De Ierse singer-songwriter pimpt de klassieke Nashville-sound op in vlijmscherpe en humoristische songs, die de ellende van de wereld tegen het daglicht houden. Haar nieuwste album ‘EURO-COUNTRY’ is niet alleen een perfecte omschrijving van haar unieke muzikale stijl, maar ook een bevlogen aanklacht tegen het kapitalisme dat Ierland heeft uitgehold. Openhartig en onbevreesd, dat is Ciara Mary-Alice Thompson al helemaal op het podium, waar ze met een brede grijns tegen alle heilige huisjes aanschopt.
Foto door Sarah Doyle</t>
  </si>
  <si>
    <t>Who says country is dead? CMAT has been proving the opposite for over three albums now. The Irish singer-songwriter revamps the classic Nashville sound with razor-sharp and humorous songs that shed light on the world's misery. Her latest album, ‘EURO-COUNTRY,’ is not only a perfect description of her unique musical style but also a passionate indictment of the capitalism that has hollowed out Ireland. Honest and fearless, that's Ciara Mary-Alice Thompson, especially on stage, where she kicks against all sacred cows with a wide grin.
Photo by Sarah Doyle</t>
  </si>
  <si>
    <t>Dabeull Live Band bewijst dat funk veel meer is dan een cheesy relikwie van de jaren 80. Zijn kakelverse take op het slicke genre klinkt net zo warm als de golden oldies, met wulpse baspartijen en zijdezachte synths die je trommelvliezen kietelen. De Fransman gaat zelfs zo ver in zijn funkliefde dat hij de mengtafel waarmee Michael Jacksons ‘Thriller’ is opgenomen in ere herstelde. Bijgestaan door een retestrakke band staat hij op het podium garant voor zomerse smooth jams. Dus, bring the funk!
Foto door David Vasiljevic</t>
  </si>
  <si>
    <t>Als je fenomeen Harry Mack nog niet kent, kom dan vooral kijken – en luisteren. Geheid dat je nieuwsgierigheid omslaat in pure fandom, bij het meemaken van deze grootste freestylerapper van zijn generatie. Of moet dat zijn: aller tijden? Feit is dat de Californiër uit random woorden en geïnspireerd door de situatie ter plekke compleet samenhangende en humoristische tracks in elkaar draait, die je mond doen openvallen. Zoals hij dat onderweg naar stardom al deed met zijn Venice Beach Freestyle-sessies en zijn Omegle Bars online. Harry for president!</t>
  </si>
  <si>
    <t>If you're not yet familiar with the phenomenon Harry Mack, make sure to come and watch – and listen. Guaranteed, your curiosity will turn into pure fandom as you witness this greatest freestyle rapper of his generation. Or should we say: of all time? The fact is, the Californian crafts completely coherent and humorous tracks from random words and inspired by the situation at hand, leaving you speechless. Just as he did on his way to stardom with his Venice Beach Freestyle sessions and his Omegle Bars online. Harry for president!</t>
  </si>
  <si>
    <t>[using festival bio due to a lack of publicly available data] Back at Down The Rabbit Hole, with a second album in hand: ICELAND, despite the name, still a scorching hot treat. The fiery hip-hop collaboration between jack-of-all-trades Sef and Hang Youth frontman Abel once again blazes like molten lava through the Green Hills. Although hip-hop is a flexible concept in the hands of these Amsterdam wordsmiths, who employ punk, trap, and hyperpop to lyrically and musically take on autocrats, big tech, and capitalism at large—interspersed with the occasional fun track or apocalypse ballad. Ice-cold the best.
Image by Martin Stig</t>
  </si>
  <si>
    <t>Terug op Down The Rabbit Hole, met een tweede plaat op zak: IJSLAND, in weerwil van de naam nog steeds een loeihete traktatie. De vurige hiphopcollab tussen duizendpoot Sef en Hang Youth-frontman Abel raast opnieuw als gloeiende lava door de Groene Heuvels. Alhoewel hiphop een rekbaar begrip is in handen van de Amsterdamse woordkunstenaars, die punk, trap en hyperpop aanwenden om autocraten, big tech en het grootkapitaal in het algemeen al rappend en zingend de maat te nemen – afgewisseld met een enkele pretsong of apocalypsballad. IJskoud de beste.
Beeld door Martin Stig</t>
  </si>
  <si>
    <t>Back at Down The Rabbit Hole, with a second album in hand: ICELAND, despite the name, still a scorching hot treat. The fiery hip-hop collaboration between jack-of-all-trades Sef and Hang Youth frontman Abel once again blazes like molten lava through the Green Hills. Although hip-hop is a flexible concept in the hands of these Amsterdam wordsmiths, who employ punk, trap, and hyperpop to lyrically and musically take on autocrats, big tech, and capitalism at large—interspersed with the occasional fun track or apocalypse ballad. Ice-cold the best.
Image by Martin Stig</t>
  </si>
  <si>
    <t>Black british music, daar is geen woord van gelogen als het om de output van Jim Legxacy gaat. Niet alleen omdat zijn eerste echte full-length zo heet, het is ook precies wat de Engelse rapper en zanger zijn publiek voorschotelt. Al ettelijke singles, ep’s en mixtapes lang trouwens, al sinds vóór de pandemie. Anno nu geldt de Nigeriaanse Londenaar als Engelands nieuwste hiphopsensatie, met zijn onorthodoxe mix van afro, emo, akoestische pop en rap, waarmee hij zijn publiek steevast het hoofd op hol brengt, allercharmantst bovendien.</t>
  </si>
  <si>
    <t>Black British music—there's no exaggeration in that when it comes to the output of Jim Legxacy. Not only because his first proper full-length release bears that name, but also because it's exactly what the English rapper and singer delivers to his audience. For quite some time now, through numerous singles, EPs, and mixtapes, even before the pandemic. Today, the Nigerian Londoner is considered England's newest hip-hop sensation, with his unorthodox mix of afro, emo, acoustic pop, and rap, which consistently captivates his audience in the most charming way.</t>
  </si>
  <si>
    <t>Zijn uit duizenden herkenbare gitaargeluid klonk in The The, Electronic, Modest Mouse en een blauwe maandag bij The Pretenders. Sinds 2013 bewandelt hij het solopad dat hij plaveide met vier studioalbums en drie livealbums. Noel Gallagher noemt hem een ‘fucking wizard’. En natúúrlijk was hij de rechterhersenhelft van The Smiths, waarvan zijn meest dierbare nummers nog altijd meereizen. Nu deze invloedrijke gitaarheld met de liveplaat ‘Look Out Live!’ opnieuw toeslaat, kan met trots, liefde en tromgeroffel aangekondigd worden: Make way for the mighty JOHNNY MARR!</t>
  </si>
  <si>
    <t>Ze was even uit beeld, Joy Crookes, de Londense zangeres van Bengaals-Ierse afkomst die in 2021 debuteerde met een wolk van een neo-soulalbum en een jaar later al eens op Down The Rabbit Hole te bewonderen was. Maar nu is ze terug. Dat het leven haar in de tussentijd niet altijd toelachte, blijkt uit de emotionele teksten op ‘Juniper’ (2025), een plaat die met retrosoul met wolkjes triphop, rap en reggae verdergaat waar de voorganger ophield. Jazzier dan Amy Winehouse, meer hiphop dan Celeste, een ware ode to Joy.</t>
  </si>
  <si>
    <t>Als er ooit iemand door muziek ten prooi valt aan het stendhalsyndroom, oftewel mentaal en fysiek overweldigd wordt door schoonheid, dan moet deze zielrakende bariton de oorzaak zijn. Hij kwam een schrijfblokkade en depressie te boven, pende lyrics neer voor twee The National-albums en stofte de plank af met de aanzet tot soloplaat ‘Get Sunk’. Op honkballen gekrabbelde tekstideeën werden melancholische, maar hoopgevende homeruns in samenwerking met producer en medesongsmid Sean O'Brien. In ‘Times of Difficulty’ is er maar één persoon naar wie je wilt luisteren: Matt Berninger.
Foto door Chantal Anderson</t>
  </si>
  <si>
    <t>If anyone were ever to fall victim to Stendhal syndrome through music—being mentally and physically overwhelmed by beauty—then this soul-stirring baritone would surely be the cause. He overcame writer's block and depression, penned lyrics for two The National albums, and dusted off the beginnings of the solo record ‘Get Sunk.’ Text ideas scribbled on baseballs turned into melancholic yet hopeful home runs in collaboration with producer and co-songwriter Sean O'Brien. In ‘Times of Difficulty,’ there’s only one person you’ll want to listen to: Matt Berninger.
Photo by Chantal Anderson</t>
  </si>
  <si>
    <t>Ergens tussen helende ambient, sprankelende hyperpop en verkwikkende clubmuziek vind je de emotionele kern van Oklou, die in korte tijd is uitgegroeid tot een van de belangrijkste songwriters van onze tijd. Als mixtape ‘Galore’ (2020) een overtuigend voorproefje was van haar unieke producties en dromerige zangstijl, dan is debuutalbum ‘choke enough’ (2025) haar magnum opus. Er zijn weinig artiesten die zo’n perfecte balans weten te vinden tussen het alledaagse en het hemelse, twee uitersten waar Oklou met haar zijdezachte stem in intieme pareltjes behendig tussen navigeert.</t>
  </si>
  <si>
    <t>Somewhere between healing ambient, sparkling hyperpop, and invigorating club music lies the emotional core of Oklou, who has quickly become one of the most important songwriters of our time. If the mixtape ‘Galore’ (2020) was a convincing preview of her unique productions and dreamy vocal style, then debut album ‘choke enough’ (2025) is her magnum opus. Few artists manage to strike such a perfect balance between the everyday and the celestial, two extremes that Oklou skillfully navigates in intimate gems with her silky-smooth voice.</t>
  </si>
  <si>
    <t>Ze passen naadloos in het exclusieve rijtje Britse elektronische liveduo’s als The Chemical Brothers, Orbital en Disclosure. Net als de laatste twee bestaat Overmono ook daadwerkelijk uit broers. Ed en Tom, om precies te zijn, en dat hebben ze dan weer gemeen met eerstgenoemden. Ook hun muzikale fruitmand biedt tal van bekende aanknopingspunten: van breakbeats en drum-’n-bass tot uk garage en techno. Geen hapslikwegsound, wel vloervullend lekker. Niet voor niets werden de Welshmen door het gezaghebbende DJ Mag uitgeroepen tot beste liveact. Over mono gesproken.
Foto door Jasmina Wood</t>
  </si>
  <si>
    <t>They fit seamlessly into the exclusive lineup of British electronic live duos like The Chemical Brothers, Orbital, and Disclosure. Like the latter two, Overmono is also made up of brothers. Ed and Tom, to be precise, which they share in common with the first mentioned. Their musical repertoire offers plenty of familiar touchpoints: from breakbeats and drum-’n-bass to UK garage and techno. Not a throwaway sound, but irresistibly floor-filling. It's no surprise that the Welshmen were named Best Live Act by the authoritative DJ Mag. Speaking of mono.
Photo by Jasmina Wood</t>
  </si>
  <si>
    <t>Er is veel gebeurd sinds Sierra Ferrell drie jaar geleden in de Groene Heuvels debuteerde. Zo won de altijd spectaculair gestylde singer-songwriter onlangs een Grammy voor beste americana-optreden voor ‘American Dreaming’ – en liet daarmee Beyoncé in het stof bijten. Dat heeft alles te maken met Ferrells liefde en respect voor de Amerikaanse rootstraditie, die de voormalige straatmuzikante letterlijk en figuurlijk van binnen en buiten kent: van trad-jazz en bluegrass tot outlaw country en western swing. Kom ook dansen, want Sierra Ferrell is de onbetwiste koningin van deze honky-tonk.</t>
  </si>
  <si>
    <t>A lot has happened since Sierra Ferrell debuted in the Green Hills three years ago. The always spectacularly styled singer-songwriter recently won a Grammy for Best Americana Performance for "American Dreaming" – leaving Beyoncé in the dust. This has everything to do with Ferrell's love and respect for the American roots tradition, which the former street musician knows inside and out, both literally and figuratively: from trad-jazz and bluegrass to outlaw country and western swing. Come dance along, because Sierra Ferrell is the undisputed queen of this honky-tonk.</t>
  </si>
  <si>
    <t>Twee succesalbums en twee megahits (‘Multicolor’ en ‘Tonight’) kostte de komeetachtige opkomst van Son Mieux, de jongste loot aan de boom met legendarische Haagse bands. Die gigapopulariteit dankt het zevental niet alleen aan zijn aanstekelijke, breed uitwaaierende feestrock, maar zeker ook aan het charisma van de immer strakgepakte frontman Camiel Meiresonne, baas, beest en boy wonder ineen. En dat betaalt zich uit. Onder zijn aanvoering en met de driedubbelslag in de Kuip, afgelopen juni, als voorlopig hoogtepunt is Son Mieux vooral ook een onverslaanbare liveband.&amp;nbsp;
Foto door Wrister Meiresonne</t>
  </si>
  <si>
    <t>Two successful albums and two mega-hits ("Multicolor" and "Tonight") marked the meteoric rise of Son Mieux, the latest branch on the tree of legendary bands from The Hague. The seven-piece owes its immense popularity not only to its infectious, expansive party rock but also to the charisma of its ever-dapper frontman Camiel Meiresonne—boss, beast, and boy wonder all in one. And it’s paying off. Under his leadership, with the triple sell-out at De Kuip this past June as the current pinnacle, Son Mieux has firmly established itself as an unbeatable live band.
Photo by Wrister Meiresonne</t>
  </si>
  <si>
    <t>DTRH-huisvrienden De Staat staan bekend als een van Europa’s meest inventieve en onverschrokken liveacts. Al meer dan een kwarteeuw verleggen ze consequent de grenzen van wat een rockband kan zijn. Messcherpe maatschappijkritiek combineren ze met een unieke visuele podiumtaal – ‘Witch Doctor’, iemand? – en een genre-overstijgende sound die, behalve in je airplay, ook te horen was in hitgames en wereldwijde campagnes. Check die prijzenkast maar, waar onder meer Edison Awards, 3FM Awards en een Bernays Lifetime Achievement Award je tegemoetglimmen.&amp;nbsp;
All of the above bracht de internationaal gerenommeerde band bovendien naar alle wereldse windstreken: van SXSW, Glastonbury, Lowlands, Sziget, Pukkelpop, Rock Werchter en DEICHBRAND tot tours met bands als The Rolling Stones, Muse en Biffy Clyro. In 2026 keren Torre Florim en zijn kompanen terug met De Staat Becomes De Staat, een groots nieuw project rond een verse plaat, liveshow en een gigantische kunstinstallatie die de lat weer hoger zal leggen. Ondenkbaar? Bij De Staat mag je zelfs het onmogelijke voor mogelijk houden.</t>
  </si>
  <si>
    <t>DTRH house friends De Staat are known as one of Europe’s most inventive and fearless live acts. For over a quarter of a century, they have consistently pushed the boundaries of what a rock band can be. They combine razor-sharp social criticism with a unique visual stage language – ‘Witch Doctor,’ anyone? – and a genre-defying sound that, besides airplay, has also featured in hit games and global campaigns. Just take a look at their trophy cabinet, gleaming with Edison Awards, 3FM Awards, and a Bernays Lifetime Achievement Award.
All of this has brought the internationally renowned band to all corners of the world: from SXSW, Glastonbury, Lowlands, Sziget, Pukkelpop, Rock Werchter, and DEICHBRAND to tours with bands like The Rolling Stones, Muse, and Biffy Clyro. In 2026, Torre Florim and his companions will return with De Staat Becomes De Staat, a grand new project centered around a fresh album, live show, and a massive art installation that will once again raise the bar. Unthinkable? With De Staat, even the impossible becomes possible.</t>
  </si>
  <si>
    <t>Om in tijden van hiphop, R&amp;amp;B en hyperpop te overleven als sweetsoulgroep is één ding, maar er ook nog razend populair mee worden kan alleen als je steengoed bent. En dat is Thee Sacred Souls, het trio uit San Diego dat met twee albums en een kluit singles vele honderden miljoenen streams aantikt. Met hoog overzwevende harmonyzang en invloeden uit doo-wop en gospel werkt de soepele soul van het herendrietal als honing voor de ziel, om van de gehoorgang nog te zwijgen.
Beeld door Gabriel Roth</t>
  </si>
  <si>
    <t>To survive as a sweet soul group in an era dominated by hip-hop, R&amp;B, and hyperpop is one thing, but becoming wildly popular at the same time is only possible if you're exceptionally good. And that's exactly what Thee Sacred Souls are—a trio from San Diego that, with two albums and a handful of singles, has racked up hundreds of millions of streams. With soaring harmony vocals and influences from doo-wop and gospel, the trio's smooth soul acts as honey for the soul, not to mention a treat for the ears.
Image by Gabriel Roth</t>
  </si>
  <si>
    <t>[using festival bio due to a lack of publicly available data] If there is one Dutch-speaking rapper who could claim the title of GOAT, it’s Sticks. Having started in the groundbreaking rap crew Opgezwolle, he went on to achieve solo success and built exciting supergroups like Fakkelbrigade and Great Minds, alongside powerhouse colleagues such as Typhoon and Jiggy Djé. In addition, the influential rapper from Zwolle has delved into a wide range of activities, from serving as an ambassador for football club PEC Zwolle to founding the hip-hop platform Fakkelteitgroep, and from working as an A&amp;R executive at record label Top Notch to creating a multimedia art project. In short, the ideal Special Guest at Down The Rabbit Hole, who will not only perform a show at Hotot but also pop up in the most unexpected places around the Groene Heuvels all weekend long.
Not to be missed: his Friday afternoon show at Hotot, where Sticks, together with the majestic Netherlands Philharmonic Orchestra, will perform a set of hip-hop bangers specially arranged for the symphony orchestra.</t>
  </si>
  <si>
    <t>Als er één Nederlandstalige rapper is die mag opgaan voor de titel GOAT, dan is het wel Sticks. Ooit gestart in de baanbrekende rapcrew Opgezwolle, succesvol solo verder getrokken en bouwer van spannende supergroepen als Fakkelbrigade en Great Minds, met collegakanjers als Typhoon en Jiggy Djé. Daarnaast stortte de invloedrijke Zwollenaar zich op de uiteenlopendste bezigheden, van ambassadeur van voetbalclub PEC Zwolle tot oprichter van hiphopplatform Fakkelteitgroep en van A&amp;amp;R-man bij platenlabel Top Notch tot maker van een multimediaal kunstproject. Kortom, de ideale Special Guest op Down The Rabbit Hole, die naast een show op Hotot het hele weekend op de gekste plekken zal opduiken in de Groene Heuvels.
Alvast niet te missen: zijn vrijdagmiddagshow op Hotot, waar Sticks samen met het majestueuze Nederlands Philharmonisch een set hiphopbangers speelt die speciaal voor het symfonieorkest werden gearrangeerd.</t>
  </si>
  <si>
    <t>If there is one Dutch-speaking rapper who could claim the title of GOAT, it’s Sticks. Having started in the groundbreaking rap crew Opgezwolle, he went on to achieve solo success and built exciting supergroups like Fakkelbrigade and Great Minds, alongside powerhouse colleagues such as Typhoon and Jiggy Djé. In addition, the influential rapper from Zwolle has delved into a wide range of activities, from serving as an ambassador for football club PEC Zwolle to founding the hip-hop platform Fakkelteitgroep, and from working as an A&amp;R executive at record label Top Notch to creating a multimedia art project. In short, the ideal Special Guest at Down The Rabbit Hole, who will not only perform a show at Hotot but also pop up in the most unexpected places around the Groene Heuvels all weekend long.
Not to be missed: his Friday afternoon show at Hotot, where Sticks, together with the majestic Netherlands Philharmonic Orchestra, will perform a set of hip-hop bangers specially arranged for the symphony orchestra.</t>
  </si>
  <si>
    <t>[using festival bio due to a lack of publicly available data] TOMORA is a match made in space: an easily ignitable two-stage rocket featuring Norwegian singer-songwriter AURORA and block-rockin’ beat pioneer Tom Rowlands of The Chemical Brothers. After fruitful collaborations on each other's albums, they now aim for the stars as a duo with a brand-new project that transcends time, space, and genres – the sum of two parts, but completely turned on its head. Just check out the hypnotic debut single ‘RING THE ALARM,’ a feverish track that will get you moving in no time. Talk about liftoff.</t>
  </si>
  <si>
    <t>TOMORA is een match made in space: een easy ontvlambare tweetrapsraket met aan boord de Noorse singer-songwriter AURORA en block-rockin’ beatpionier Tom Rowlands van The Chemical Brothers. Na vruchtbare collabs op wederzijdse albums mikken ze nu als duo op de sterren met een gloednieuw project dat tijd, ruimte en genres overstijgt – de som der twee delen, maar dan compleet op zijn kop. Check de hypnotiserende debuutsingle ‘RING THE ALARM’ maar, een koortsachtige track die je in een mum van tijd in beweging krijgt. Over liftoff gesproken.</t>
  </si>
  <si>
    <t>TOMORA is a match made in space: an easily ignitable two-stage rocket featuring Norwegian singer-songwriter AURORA and block-rockin’ beat pioneer Tom Rowlands of The Chemical Brothers. After fruitful collaborations on each other's albums, they are now aiming for the stars as a duo with a brand-new project that transcends time, space, and genres – the sum of two parts, but turned completely upside down. Just check out the hypnotic debut single ‘RING THE ALARM,’ a feverish track that gets you moving in no time. Talk about liftoff.</t>
  </si>
  <si>
    <t>¥ØU$UK€ ¥UK1MAT$U</t>
  </si>
  <si>
    <t>¥ØU$UK€ ¥UK1MAT$U is a DJ and former construction worker from Osaka who turned to music after a life-changing diagnosis. Known for high-energy sets blending heavy metal, techno, and bass music, he is recognized for his innovative transitions and adrenaline-pumping performances.</t>
  </si>
  <si>
    <t>¥ØU$UK€ ¥UK1MAT$U's genre-defying style and fearless approach to mixing make him a standout in the dance music scene, offering a glimpse into the future of the genre.</t>
  </si>
  <si>
    <t>‘Your favourite DJ’s favourite DJ’ dekt de lading van ¥ØU$UK€ ¥UK1MAT$U’s genialiteit. De diagnose van een hersentumor deed de voormalige bouwvakker uit Osaka beseffen dat hij zijn talenten moest volgen. Nu verovert hij de wereld met krankzinnig goede sets die een dikke dosis adrenaline in de dansscene injecteren. Geen transitie is te gek voor deze duizendpoot: gestoorde edits van heavy metal, rammende techno en overweldigende bass-drops blazen zijn extatische publiek omver. Verplichte kost als je de toekomst van dansmuziek wilt horen.
Foto door Jun Yokoyama</t>
  </si>
  <si>
    <t>'Your favourite DJ’s favourite DJ' perfectly captures the brilliance of ¥ØU$UK€ ¥UK1MAT$U. The diagnosis of a brain tumor made the former construction worker from Osaka realize he needed to follow his talents. Now, he’s taking the world by storm with insanely good sets that inject a massive dose of adrenaline into the dance scene. No transition is too wild for this jack-of-all-trades: insane edits of heavy metal, pounding techno, and overwhelming bass drops blow his ecstatic audience away. A must-see if you want to hear the future of dance music.
Photo by Jun Yokoyama</t>
  </si>
  <si>
    <t>Deze herboren Brusselse rapper werkte van debuut ‘Wie is Guy?’ naar nieuweling ‘Dit is Guy.’ een mentale hordenloop van vallen en opstaan af en vond de antwoorden die hij zocht. Salut drank en drugs, welkom gezonde lifestyle en dochter Zaza. Ook nieuw is Zánger Guy, zoals in het lieflijke ‘Gorik Pt. 2’. In het rauwe tweeluik ‘Vecht Voor Papier’ laait de engagementvlam op en in ‘Papucho’ openbaart zich andermaal zijn lenige flow. En dan die rake samples en smaakvolle startstopbeats! Zwangere Guy, wij zien u graag, punt.
Foto door Laurens Leroy</t>
  </si>
  <si>
    <t>This reborn Brussels rapper transitioned from his debut 'Wie is Guy?' to the new release 'Dit is Guy.'—a mental hurdle race of ups and downs—and found the answers he was searching for. Goodbye to booze and drugs, hello to a healthy lifestyle and daughter Zaza. Also new is Singer Guy, as heard in the tender 'Gorik Pt. 2.' In the raw two-parter 'Vecht Voor Papier,' the flame of engagement burns brightly, and in 'Papucho,' his agile flow reveals itself once again. And those striking samples and tasteful start-stop beats! Zwangere Guy, we admire you, period.
Photo by Laurens Leroy</t>
  </si>
  <si>
    <t>Injecteer soulvolle gospel met een flinke dosis verrukte P-Funk en het verslavende resultaat zal gevaarlijk dicht in de buurt komen van Arp Frique &amp;amp; The Perpetual Singers. De Amsterdamse multi-instrumentalist Arp Frique componeerde zijn nieuwste album ‘The Gospel of Jesamy’ als dansbaar eerbetoon aan zijn pasgeboren dochter. Bijgestaan door een buitensporig goede band en legendarische zangers als Rocq-E Harrell – die onder andere werkte met Stevie Wonder en Earth Wind &amp;amp; Fire – vertaalt hij dat intieme opus naar een extatisch funkfeestje op het podium.</t>
  </si>
  <si>
    <t>Inject soulful gospel with a hefty dose of ecstatic P-Funk, and the addictive result will come dangerously close to Arp Frique &amp; The Perpetual Singers. The Amsterdam-based multi-instrumentalist Arp Frique composed his latest album, 'The Gospel of Jesamy,' as a danceable tribute to his newborn daughter. Supported by an exceptionally talented band and legendary vocalists like Rocq-E Harrell – who has worked with the likes of Stevie Wonder and Earth, Wind &amp; Fire – he translates this intimate opus into an ecstatic funk party on stage.</t>
  </si>
  <si>
    <t>Producer Paul Epworth (Florence + The Machine, Bloc Party, Adele) had een openbaring tijdens Baxter Dury’s optreden op Glastonbury 2024. Hij wist precies hoe Dury moest klinken op zijn volgende album. In The Church Studios vond Dury’s materiaal voor ‘Allbarone’ stilzwijgend zijn weg richting prullenbak en werden zijn, door vader Ian praktisch met de paplepel ingegoten vertelvocalen losgelaten in een nieuwe habitat. Intenser, elektrischer, dansbaarder – maar nog altijd met een uitermate funky ritmegevoel en bevrijdende refreinen als succesingrediënten. Over openbaringen gesproken.
Foto door Tom Beard</t>
  </si>
  <si>
    <t>Producer Paul Epworth (Florence + The Machine, Bloc Party, Adele) had a revelation during Baxter Dury’s performance at Glastonbury 2024. He knew exactly how Dury should sound on his next album. At The Church Studios, Dury’s material for ‘Allbarone’ quietly found its way to the trash, and his narrative vocals—practically spoon-fed to him by his father Ian—were unleashed in a new habitat. More intense, more electric, more danceable – yet still with an exceptionally funky sense of rhythm and liberating choruses as key ingredients. Speaking of revelations.
Photo by Tom Beard</t>
  </si>
  <si>
    <t>Mon dieu! De meest gedraaide Franstalige track op de Franse radio en tv werd gemaakt door een Canadese? Met ‘Feel Good’ (2024) zette Charlotte Cardin uit Montréal definitief voet op het Europese vasteland en wijde omstreken. In haar koffer neemt ze sublieme alternative pop mee, die met volmaakt afgepaste synths, beats en gitaren continu blijft verrassen. Zo ook Cardins teksten, waarin ze in het Frans én Engels geen onderwerp of persoonlijk detail uit de weg gaat – soms verleidelijk, dan weer confronterend, maar altijd raak.
Foto door Sise Drummond</t>
  </si>
  <si>
    <t>Mon dieu! The most-played French-language track on French radio and TV was created by a Canadian? With "Feel Good" (2024), Charlotte Cardin from Montréal firmly established her presence on the European mainland and beyond. In her repertoire, she brings sublime alternative pop, continuously surprising with perfectly balanced synths, beats, and guitars. The same goes for Cardin's lyrics, where she tackles every subject and personal detail in both French and English—sometimes seductive, other times confrontational, but always spot-on.
Photo by Sise Drummond</t>
  </si>
  <si>
    <t>Na een laatste ereronde door Nederland stopt Claw Boys Claw met optreden. Nou vooruit, nog eentje om het af te leren dan? Op hun nieuwste album ‘Fly’ klinken de natural born garagerockers namelijk nog net zo gedreven als 43 jaar geleden. Het schrijverstweespan Peter te Bos-John Cameron heeft een reputatie hoog te houden als het gaat om vuige ragnummers en bedwelmende ballads, die buiten in de klei het allerlekkerst klinken. Dus of het nou wel of niet de laatste is: vier het leven, vier Claw Boys Claw!</t>
  </si>
  <si>
    <t>After a final farewell tour through the Netherlands, Claw Boys Claw is stopping their performances. Or maybe just one more for old times' sake? On their latest album 'Fly', the natural-born garage rockers sound just as driven as they did 43 years ago. The songwriting duo Peter te Bos and John Cameron have a reputation to uphold when it comes to gritty rock tracks and intoxicating ballads, which sound best out in the open air. So whether it’s truly the last or not: celebrate life, celebrate Claw Boys Claw!</t>
  </si>
  <si>
    <t>Veel eeneiige tweelingen kent de popmuziek niet, maar niet alleen daarom is Deki Alem, alias de Zweedse twins Sammy &amp;amp; Johnny Bennett, een bijzonder duo. Ook qua muziek kennen de Scandinaviërs hun gelijke niet: een explosief hotbed van drum ’n’ bass, triphop, bigbeat en UK garage, waarover het tweetal rapt met energie voor tien. Hun albums en ep’s puilen ervan uit en een spectaculair ogende liveshow maakt het plaatje af. Wat is dus het geval? Overal waar de broers ten tonele verschijnen, is het bal.
Beeld door Noah Agemo</t>
  </si>
  <si>
    <t>Derya Yıldırım &amp; Grup Şimşek</t>
  </si>
  <si>
    <t>Derya Yıldırım &amp; Grup Şimşek is a contemporary band blending traditional Turkish folk music with psychedelic rock and jazz influences, creating a unique and modern sound. They are known for their innovative arrangements of Anatolian folk songs and their dynamic live performances.</t>
  </si>
  <si>
    <t>Eeuwenoude folkmuziek uit Anatolië in een lekker psychedelisch jasje, dat is de sound van Derya Yıldırım en haar steengoede band Grup Şimşek. De in Hamburg geboren multi-instrumentalist met Anatolische roots noemt haar muziek outernational, dus voorbij de hokjes van landen en genres. Dat voel je als ze op het podium haar bağlama, een zevensnarige Turkse luit, bespeelt: heden en verleden smelten samen tijdens enerverende concerten waarin de rijke traditie van Turkse folk relevanter dan ooit klinkt. Behoud en vernieuwing gaan hier hand in hand.
Foto door Philomena Wolflingseder</t>
  </si>
  <si>
    <t>Centuries-old folk music from Anatolia wrapped in a delightful psychedelic vibe—that's the sound of Derya Yıldırım and her outstanding band Grup Şimşek. The Hamburg-born multi-instrumentalist with Anatolian roots describes her music as "outernational," transcending the boundaries of countries and genres. You can feel it when she takes the stage with her bağlama, a seven-string Turkish lute: past and present merge during electrifying performances where the rich tradition of Turkish folk sounds more relevant than ever. Preservation and innovation go hand in hand here.
Photo by Philomena Wolflingseder</t>
  </si>
  <si>
    <t>De hoogtijdagen van MTV flitsen voor je ogen als je de grunge-pop van Florence Road hoort. De debuut-mixtape ‘Fall Back’ barst van de juweeltjes met rauwe rafelrandjes. De vierkoppige vriendengroep uit Ierland met zangeres Lily Aron aan het hoofd ontpopte zich in de kortste tijd tot indie sensatie. Ze begonnen als coverband op TikTok en stonden inmiddels al in het voorprogramma van Olivia Rodrigo. Nu sleutelt de rockband aan hun eerste album, terwijl ze het festivalcircuit onveilig maken met hun emotionele meezingers.</t>
  </si>
  <si>
    <t>The glory days of MTV flash before your eyes when you hear the grunge-pop of Florence Road. Their debut mixtape ‘Fall Back’ is bursting with raw-edged gems. The four-piece group of friends from Ireland, led by vocalist Lily Aron, quickly emerged as an indie sensation. They started as a cover band on TikTok and have already opened for Olivia Rodrigo. Now, the rock band is working on their first album while taking the festival circuit by storm with their emotional sing-alongs.</t>
  </si>
  <si>
    <t>Pluk de dag, richt een band op, dachten Heide, Jeanie en Gracie, om als Folk Bitch Trio hun alledaagse wel en wee in melodieën te vangen. Intussen is nog maar weinig alledaags voor deze Melbournese minstrelen. Zeker met hun analoog opgenomen debuutplaat, die je trilhaartjes wakker kietelt met engelachtige, soms a capella hogeschoolharmonieën en verfijnde gitaarakkoorden versus scherp doordachte teksten. De albumtitel vat meteen mooi samen hoe een hechte vriendschap kan uitgroeien tot wereldwijd tourende folkgroep, simpelweg door samen te besluiten: ‘Now Would Be A Good Time.’</t>
  </si>
  <si>
    <t>Seize the day, start a band, thought Heide, Jeanie, and Gracie, to capture their everyday ups and downs in melodies as the Folk Bitch Trio. By now, little remains ordinary for these Melbourne minstrels. Especially with their analog-recorded debut album, which tickles your eardrums with angelic, sometimes a cappella high-level harmonies and refined guitar chords paired with sharply crafted lyrics. The album title perfectly encapsulates how a close friendship can evolve into a globally touring folk group, simply by deciding together: ‘Now Would Be A Good Time.’</t>
  </si>
  <si>
    <t>Twee dj’s voor de prijs van één, dat is altijd een aantrekkelijke optie. In dit geval gaat het om twee vinylliefhebbende Duitsers, al woont HUNEE sinds lang in Amsterdam en zag Janson het levenslicht in Roemenië. Toch draaiden ze al vaker zij aan zij en waar HUNEE met zijn vaste maatje Antal al een glorieus danstapijt de vloer opslingert, past zijn stijl misschien nog wel naadlozer bij die van Janson. Samen bouwen ze een discohousefeest van epische proporties, met een onnavolgbare trackselectie en ingebouwde zevendehemelgarantie.</t>
  </si>
  <si>
    <t>[using festival bio due to a lack of publicly available data] Heavenly voice, minimal accompaniment; the folk-pop of Jacob Alon convinces without frills. The Scottish songwriter had a great 2025: debut album ‘In Limerence’ was enthusiastically received by fans of Bowie, Buckley, and Wainwright. ‘Later... with Jools Holland’ was played to silence, as was Glastonbury. This year started just as promisingly with the coveted British Critics' Choice Award for Best New Talent. A fictional Rabbit's Choice Award is already in order because if you can make even the soft scratch of a sliding guitar chord sound unbelievably beautiful, you’re onto something truly special.
Image by Jessie Morgan</t>
  </si>
  <si>
    <t>Hemelse stem, minimale begeleiding; de folkpop van Jacob Alon overtuigt zonder opsmuk. De Schotse songsmid beleefde een goed 2025: debuutalbum ‘In Limerence’ werd juichend onthaald door liefhebbers van Bowie, Buckley en Wainwright. ‘Later... with Jools Holland’ werd stilgespeeld, evenals Glastonbury. Dit jaar begon al even voorspoedig met de felbegeerde Brits Critics' Choice Award voor beste nieuwe talent. Een fictieve Rabbit's Choice Award staat alvast klaar, want als je zelfs het zachte krasje van een doorschuivend gitaarakkoord al ongekend mooi kan laten klinken, ben je aan iets héél bijzonders bezig.
Beeld door Jessie Morgan</t>
  </si>
  <si>
    <t>Heavenly voice, minimal accompaniment; the folk-pop of Jacob Alon convinces without frills. The Scottish songwriter had a great 2025: debut album ‘In Limerence’ was enthusiastically received by fans of Bowie, Buckley, and Wainwright. ‘Later... with Jools Holland’ was played to silence, as was Glastonbury. This year started just as promisingly with the coveted British Critics' Choice Award for Best New Talent. A fictional Rabbit's Choice Award is already in order because if you can make even the soft scratch of a sliding guitar chord sound unbelievably beautiful, you’re onto something truly special.
Image by Jessie Morgan</t>
  </si>
  <si>
    <t>Een nummer van Kevin Morby is het muzikale equivalent van door een fotoalbum met oude polaroids bladeren. De in Kansas opgegroeide en naar New York verhuisde singer-songwriter staat altijd met één been in het verleden. Hij is daardoor een van de weinige hedendaagse muzikanten die vergelijkingen met Bob Dylan en Leonard Cohen ook echt verdient. Pure nostalgie is het overigens niet: in zijn broeierige songs reflecteert deze troubadour op onze tumultueuze tijden. Het zijn hartstochtelijk odes aan de desolate plekken en eenzame mensen van de moderne wereld.
Foto door Katie Crutchfield</t>
  </si>
  <si>
    <t>A song by Kevin Morby is the musical equivalent of flipping through a photo album filled with old Polaroids. The singer-songwriter, who grew up in Kansas and moved to New York, always has one foot in the past. This makes him one of the few contemporary musicians who truly deserves comparisons to Bob Dylan and Leonard Cohen. However, it’s not pure nostalgia: in his simmering songs, this troubadour reflects on our tumultuous times. They are passionate odes to the desolate places and lonely people of the modern world.
Photo by Katie Crutchfield</t>
  </si>
  <si>
    <t>Recycled Chaos, Kinshasa’s Punk Future</t>
  </si>
  <si>
    <t>Lumï</t>
  </si>
  <si>
    <t>Lumï is a Rotterdam-based duo known for their harmony-rich folk-pop sound. Emerging through TikTok and Instagram, they have performed at Noorderslag 2025 and toured Europe with artists like Abby Sage, Flyte, and MARO.</t>
  </si>
  <si>
    <t>Al eerder beukte ze Beuningen binnenstebuiten met een set vol brutale beats. Tussendoor stond deze Utrechtse rug aan rug met David Vunk, draaide ze Paradiso warm voor DJ HEARTSTRING en liet ze haar gegarandeerd uitpuilende FUTURO-feesten de stap van NAR naar EKKO maken. Altijd zonder muzikale routeplanner gaat Malou het avontuur der improvisatie aan, gezegend met een voorliefde voor (italo)house en synths. Daarmee stapelt ze spelenderwijs lagen op elkaar, net zo lang tot jij al het andere vergeten bent en nog maar één ding wil: meer Malou!
Beeld door Elske Nissen</t>
  </si>
  <si>
    <t>Dienstmededeling: Keltische folk is alive and well and living in The Mary Wallopers.&amp;nbsp;Niet in bedaagde ouwemannenpubvorm, maar in de geest van de machtige Pogues (god hebbe hun ziel): rauw en recht uit het hart. Pure Irish rock-’n-roll. Opgetrokken rond de gebroeders Hendy en authentiek uitgerust met tin whistle en uileann pipes, viert de band uit Dundalk het leven in al zijn facetten, fier ten strijde trekkend tegen alles wat krom is – extreemrechts, de genocide in Gaza, kapitalisme en whatnot. Hail Mary!
Foto door Sorcha Frances Ryder</t>
  </si>
  <si>
    <t>Service announcement: Celtic folk is alive and well and living in The Mary Wallopers. Not in the form of a staid old-man pub vibe, but in the spirit of the mighty Pogues (may their souls rest in peace): raw and straight from the heart. Pure Irish rock ’n’ roll. Built around the Hendy brothers and authentically equipped with tin whistle and uilleann pipes, the band from Dundalk celebrates life in all its facets, boldly taking a stand against everything unjust – far-right extremism, the genocide in Gaza, capitalism, and whatnot. Hail Mary!
Photo by Sorcha Frances Ryder</t>
  </si>
  <si>
    <t>Groot in thuisland Mexico en hard op weg om dat te worden in heel Latijns-Amerika en de rest van de wakkere wereld: retrodiscofunkband Midnight Generation. Vijf ruim besnorde, in identieke trainingspakken gehulde heren die naast hakkende slaggitaar, vocoder en groovende beats vooral hun keyboards koesteren – van elektrische piano tot knorrende synth – en volcontinu in feestmodus staan. Dat ze daarmee menig festivalweide platleggen, laat zich raden. Maar ook Paradiso viel reeds als een blok voor hits als ‘Young Girl’ en ‘Don’t Wait Up’. Kom maar door.
Beeld door Kevin Charles Macaraeg</t>
  </si>
  <si>
    <t>Big in their homeland Mexico and well on their way to conquering the rest of Latin America and the wide-awake world: retro disco-funk band Midnight Generation. Five heavily mustached gentlemen clad in identical tracksuits, who, alongside choppy rhythm guitar, vocoder, and grooving beats, especially cherish their keyboards—from electric pianos to growling synths—and remain in a constant party mode. It’s no surprise they bring festival fields to their knees. Even Paradiso has already fallen head over heels for hits like "Young Girl" and "Don’t Wait Up." Bring it on.
Image by Kevin Charles Macaraeg</t>
  </si>
  <si>
    <t>Welkom aan de Costa della Musica, waar zongebruinde cocktailshakers op het ritme van italodisco hun kunsten vertonen. Met dank aan Mind Enterprises, het Turijnse producersduo Andrea Tirone en Roberto Conigliaro, dat een nieuwe generatie clubbende zand-, zee- en zonaanbidders laat kennismaken met de onweerstaanbare sound van shiny synthesizerbeats, zompige discobassen en vrolijke melodieën vol zomerse soundbites. Schud je booty in stijl en groove gladjes weg op de van campari doordrenkte dansvloer tot je geen soda meer kunt zeggen. Zo glijd je volledig mindful de italohemel binnen.</t>
  </si>
  <si>
    <t>[using festival bio due to a lack of publicly available data] With ‘The Sky Knows I Exist,’ Naaz took a giant leap this year toward the all-time hall of fame of Dutch music. This has a lot to do with the guitar she bought two years ago, allowing her to add musician to her business card alongside the titles of singer, songwriter, producer, and opera star. And indie folk, but in true Naaz style: the follow-up to her dreamy debut album ‘Never Have I Ever’ (2023) strikes all your emotional chords with the power of a reborn woman, who unleashes her boundless voice and imaginative world to their fullest potential.
Image by Mike Jurriën</t>
  </si>
  <si>
    <t>Met ‘The Sky Knows I Exist’ zette Naaz dit jaar een zevenmijlsstap naar de allertijdengalerij van de Nederlandse muziek. Dat heeft veel te maken met de gitaar die ze twee jaar geleden kocht, waardoor ze na de titels singer, songwriter, producer en operaster ook muzikante op haar visitekaartje kan zetten. En indiefolk, maar dan à la Naaz: de opvolger van droomdebuutalbum ‘Never Have I Ever’ (2023) raakt al je gevoelige snaren met de power van een herboren vrouw, die met haar ontembare stem en verbeeldingswereld alle registers opentrekt.
Beeld door Mike Jurriën</t>
  </si>
  <si>
    <t>With ‘The Sky Knows I Exist,’ Naaz took a giant leap this year toward the all-time hall of fame of Dutch music. This has a lot to do with the guitar she bought two years ago, allowing her to add musician to her business card alongside the titles of singer, songwriter, producer, and opera star. And indie folk, but in true Naaz style: the follow-up to her dreamy debut album ‘Never Have I Ever’ (2023) strikes all your emotional chords with the power of a reborn woman, who unleashes her boundless voice and imaginative world to their fullest potential.
Image by Mike Jurriën</t>
  </si>
  <si>
    <t>Over klassieke kick-offs gesproken: de vrijdag op Hotot begint meteen weergaloos met de allerbeste act van Nederland. Het majestueuze symfonieorkest Nederlands Philharmonisch trapt het weekend op het hoofdpodium af met meer dan tachtig topmuzikanten. Op het programma staan onder meer Ravels sensueel aanzwellende ‘Bolero’ en de ‘Totenfeier’, een hartverscheurende dodenmars van de Duitse symfonieënkoning Gustav Mahler – de huisspecialiteit van het Nederlands Philharmonisch. Brok in je keel gegarandeerd, moshen optioneel.
Bonus: daarna blijft het Nederlands Philharmonisch gewoon zitten voor de aansluitende show van Sticks. Als special Rabbit Hole-guest komt de rapper namelijk nog meer kippenvel brengen met een set hiphopbangers die speciaal voor het symfonieorkest werden gearrangeerd. Classic Down The Rabbit Hole.</t>
  </si>
  <si>
    <t>Speaking of classic kick-offs: Friday at Hotot starts off spectacularly with the very best act from the Netherlands. The majestic Netherlands Philharmonic Orchestra opens the weekend on the main stage with more than eighty top-tier musicians. The program includes Ravel's sensually swelling "Bolero" and "Totenfeier," a heart-wrenching funeral march by the German symphony king Gustav Mahler – a house specialty of the Netherlands Philharmonic. A lump in your throat is guaranteed, moshing optional.
Bonus: the Netherlands Philharmonic will stay right where they are for the following show by Sticks. As a special Rabbit Hole guest, the rapper will deliver even more goosebumps with a set of hip-hop bangers specially arranged for the symphony orchestra. Classic Down The Rabbit Hole.</t>
  </si>
  <si>
    <t>Goed dat ook de huidige punkrevival ruim baan biedt aan de female gaze, en een van de fijnste voorbeelden daarvan is zonder twijfel Panic Shack. Vier meiden en één guy die dan wel te boek staan als feestbeesten pur sang, maar in hun met elektronica gekruide gitaarsongs ook zeker ten strijde trekken tegen toxisch gedrag als seksisme en handtastelijkheden. Maar vooral verhaalt de Welshe band uit Cardiff over dagelijkse vrouwenongemakken, tegen een decor van razende riffs en rammende ritmes, met een vrolijke kauwgomballen-dress sense toe.
Beeld door Ren Faulkner</t>
  </si>
  <si>
    <t>De Isaan-regio in Thailand is de bakermat van molam, een uniek genre dat Thaise folk met psychedelische funk combineert. Onder leiding van DJ Maft Sai zet The Paradise Bangkok Molam International Band dit relatief onbekende genre al ruim tien jaar op de kaart. PBMIB’s avontuurlijke mix van funk, rock, elektronica, folk en psychedelia overstijgt landsgrenzen en krijgt een steeds groter podium: de Thaise heren stonden al in het voorprogramma van Damon Albarn en zijn te horen in het derde seizoen van ‘The White Lotus’.
&amp;nbsp;</t>
  </si>
  <si>
    <t>Music shouldn't be political? On the contrary, especially now as the mental world clock steadily ticks toward Total Collapse. Professional rebel Peaches is back with a vengeance on 'No Lube So Rude,' an album brimming with biting humor, sex, wisdom—in short, everything conservative prudes fear. But don't forget that behind all that defiance lies a gifted musician who has collaborated with giants like Iggy Pop and Daft Punk, channeling her and your rage into electrifying electroclash. You have a voice, so scream along with Peaches.</t>
  </si>
  <si>
    <t>Hokjesdenkers hebben het altijd moeilijk met Two Shell, het elektronischemuziekduo uit Londen. Paraplustempels als dance of elektronica zijn al net zo anoniem als het tweetal zelf, maar wie onder de motorkap kijkt komt daar zo veel onderdelen tegen dat alleen al het opsommen ervan je doet duizelen. Laat staan de manier waarop Two Shell alles aan elkaar plakt, met elkaar integreert en weer deconstrueert tot één verslavend geheel, zoals van future garage en breakbeat via dancehall, big beat en jungle naar techno, post-dubstep en hyperpop. Goud.
Beeld door Yushy</t>
  </si>
  <si>
    <t>Sometimes all the stars align perfectly in your favor. That’s how the English band Westside Cowboy was formed in the legendary music store Johnny Roadhouse Music in Manchester. A place frequented by customers like Sir Paul McCartney and Noel Gallagher, as well as countless budding musicians who bought their first second-hand instruments there. Priceless karma, then, for this quartet of young guns, who, with a handful of rootsy indie rock, have already been booked for Glastonbury 2025. Just keep your eyes fixed on the North Star, and you'll naturally find yourself in the Green Hills.
Photo by Charlie Barclay Harris</t>
  </si>
  <si>
    <t>Als medeoprichter van het label Black Artist Database biedt de Londense NIKS een platform voor productietalent van kleur. Neem bijvoorbeeld de geweldige serie compilaties onder de noemer ‘Synergy’, die barsten van de creatieve clubbangers. Stadsgenoot Amaliah prijkt op het eerste deel met een vuige hybride van tribal house en UK funky. Beide artiesten staan met enige regelmaat samen achter de decks om Britse clubs in lichterlaaie te zetten. Met hun iconische UK ravegeluid walsen ze met hetzelfde gemak over andere dansvloeren, waar ook ter wereld. Over synergie gesproken.
Beeld Amaliah: Harriet Taylor, beeld NIKS: Ollie Trench</t>
  </si>
  <si>
    <t>Voor de in Detroit geboren en in Atlanta gevestigde Ash Lauryn is clubcultuur meer dan alleen de dansvloer bedienen. Als hoofd van multidisciplinair platform Underground &amp;amp; Black ziet ze die cultuur als heuse hoeksteen van een gemeenschap, een plek voor de uitwisseling van verhalen en het vieren van identiteit. Haar heerlijk soulvolle house en zwoele techno is zo een prachtig vehikel voor een nog veel diepere ervaring, eentje waarin verbinding centraal staat. Geniet dus van haar zomerse sets en waan je eventjes één met al die andere mooie mensen op de dansvloer.</t>
  </si>
  <si>
    <t>For Detroit-born and Atlanta-based Ash Lauryn, club culture is about more than just serving the dance floor. As the head of the multidisciplinary platform Underground &amp; Black, she sees this culture as a true cornerstone of a community—a place for sharing stories and celebrating identity. Her delightfully soulful house and sultry techno serve as a beautiful vehicle for an even deeper experience, one where connection takes center stage. So, enjoy her summery sets and feel, even for a moment, at one with all the other beautiful people on the dance floor.</t>
  </si>
  <si>
    <t>Al lang voordat BELLA doorbrak als hét nieuwe deejaytalent van de Nederlandse housescene sleutelde ze stiekempjes aan haar eigen clubtracks. Het podium delen met Iers house-instituut Sally C opende eindelijk de deuren om haar eigen bangers de wereld in te slingeren. Lovend ontvangen releases als ‘Note To Self’ zijn tech-housepareltjes met energieke vocal samples, walsende grooves en gigantische synthesizerpartijen. Het smelt allemaal samen tot house waar je ‘u’ tegen zegt, al helemaal als ze grandioze sets aan elkaar draait die je letterlijk het gevoel geven dat de dansvloer ineens opstijgt.</t>
  </si>
  <si>
    <t>Zijn naam roept associaties op met de historische literaire kanonnen Byron en Yeats, maar Byron Yeates schrijft zelf geschiedenis, als dj/producer en labelbaas. Standplaats: Berlijn. Techno dus, zou je denken, maar de geboren Ier zit iets genuanceerder in de wedstrijd. Zijn missie is het eren van de queer wortels van de elektronische dansmuziek. Techno én house dus, maar niet louter de oerversies uit respectievelijk Detroit en Chicago. Ook de progressievere varianten, trance en breaks vinden hun weg in zijn sets, die beurtelings speels en bloedserieus zijn.</t>
  </si>
  <si>
    <t>Dat Cindy Li opgroeide in een muzikale familie en als tiener een creabea muzieknerd was, hoor je terug in de geraffineerde elektronische muziek die ze als Ciel maakt. De uit Xi’an naar Toronto overgevlogen dj, producer en labelbazin schept namelijk clubby pareltjes die barsten van emotie. Of het nu dromerige downtempo, wiebelende techhouse, psychedelische techno of veel zwaarder werk is, al haar tracks kietelen je trommelvliezen en zwengelen je lijf aan. Introspectie en euforie gaan bij deze getalenteerde alleskunner hand in hand</t>
  </si>
  <si>
    <t>That Cindy Li grew up in a musical family and was a creative music nerd as a teenager is evident in the refined electronic music she creates as Ciel. The DJ, producer, and label boss, who flew from Xi’an to Toronto, crafts club-ready gems brimming with emotion. Whether it’s dreamy downtempo, bouncy tech house, psychedelic techno, or much heavier fare, all her tracks tickle your eardrums and get your body moving. Introspection and euphoria go hand in hand with this talented all-rounder.</t>
  </si>
  <si>
    <t>In het schemergebied tussen pop, ambient en club vind je al gauw het licht in de muziek van Croatian Amor. Met diepgravende bangers is het soloproject van Deense muzikant Loke Rahbek er namelijk om te ontroeren en vervoeren. Nieuw wapenfeit ‘All Worlds’, een reünie met landgenoten van Lust For Youth, is een elektronische ode aan de zomer. Het festivalseizoen is er namelijk net zo goed voor zonnig hedonisme als voor diepere reflecties en zomerse melancholie, zeker als die oranjerode zon eenmaal achter de horizon gekropen is.</t>
  </si>
  <si>
    <t>Nee, je ziet niet dubbel, al klinken de speelse sets van eeneiige tweeling Doppelgang wel twee keer zo goed. Aan hun broeierige mix van house, disco en italo hoor je dat de broertjes Sander en Maurice de Graaf perfect op elkaar zijn ingespeeld. Wie een keer voet heeft gezet in Lowlands’ extatische queerclub Adonis weet dat een festivalpubliek laten zweten van het dansgenot hun specialiteit is. Dat doet het dynamische duo net zo gemakkelijk in het Amsterdamse nachtleven als op knetterende feestjes in de beste buitenlandse clubs.&amp;nbsp;
Beeld door: Mark Loopstra</t>
  </si>
  <si>
    <t>Al jaren stookt ze wereldwijd de dansvloertemperatuur op, nu krijgt ook REX een consult bij Dr. Rubinstein, alias Acid Doctor from Berlin en Marina voor intimi. De energieke producer, labeleigenaar én dj staat bekend als de koningin van de acidtechno, die ze doorspekt met vonkende electro en trance. Draaien doet ze van vinyl, honderd procent handwerk dus. Daarbij zijn haar skills als selector en mixer ongeëvenaard, waarbij ze haar eigen producties uiteraard niet overslaat. Dr. Rubinstein: hét medicijn tegen stijfheid en chagrijn.</t>
  </si>
  <si>
    <t>For years, she has been heating up dance floors worldwide, and now REX also gets a consultation with Dr. Rubinstein, aka the Acid Doctor from Berlin, or Marina to those in the know. The energetic producer, label owner, and DJ is renowned as the queen of acid techno, infused with electrifying electro and trance. She spins exclusively on vinyl—pure craftsmanship. Her skills as a selector and mixer are unparalleled, and she never skips her own productions. Dr. Rubinstein: the ultimate cure for stiffness and gloom.</t>
  </si>
  <si>
    <t>Het Amsterdamse clubleven heeft veel te danken aan Alexandros Christodoulides, beter bekend als EYCEE. Als onvermoeibaar initiator van talloze clubnachten welteverstaan, zoals meest recent het kleurrijke PARDON, naar zijn gelijknamige platenlabel. Wanneer EYCEE zelf de CDJ’s bemant, zowel in de publieke ruimte als bij diverse radiozenders, ademt zijn set uiteraard ook een zweterige clubfeel, waarbij onder meer house, garage, UK funky, hiphop en bass de toon zetten. Muziek die hij ook zelf maakt en die dan vanzelf ook weer op zijn usb-stick terechtkomt. Cirkel rond.
Beeld door: Imaikl</t>
  </si>
  <si>
    <t>[using festival bio due to a lack of publicly available data] Anyone who listens to the enchanting sets she crafts behind the decks immediately understands that Amsterdam-based sound artist Gizem Öz has a background in film and visual arts. The blend of mysterious ambient, experimental soundscapes, dubby techno, and deep house can rightly be called cinematic, as if she transforms the dance floor into a living art installation. In her work, she views the ear as a portal to another state of consciousness. This is why she translates abstract emotions and ideas into artistic experiences that resonate with both body and soul.</t>
  </si>
  <si>
    <t>Wie luistert naar de betoverende sets die ze achter de decks componeert, begrijpt meteen dat de Amsterdamse geluidskunstenaar Gizem Öz een achtergrond in film en beeldende kunst heeft. De combinatie van mysterieuze ambient, experimentele soundscapes, dubby techno en deep house kun je gerust cinematisch noemen, alsof ze de dansvloer omtovert tot levende kunstinstallatie. In haar werk ziet ze het oor als portaal naar een andere staat van bewustzijn. Daarom zet ze abstracte emoties en ideeën om naar artistieke belevenissen die je met lijf en ziel ervaart.</t>
  </si>
  <si>
    <t>Anyone who listens to the enchanting sets she crafts behind the decks immediately understands that Amsterdam-based sound artist Gizem Öz has a background in film and visual arts. The blend of mysterious ambient, experimental soundscapes, dubby techno, and deep house can rightly be called cinematic, as if she transforms the dance floor into a living art installation. In her work, she views the ear as a portal to another state of consciousness. This is why she translates abstract emotions and ideas into artistic experiences that resonate with both body and soul.</t>
  </si>
  <si>
    <t>Hervé</t>
  </si>
  <si>
    <t>Hervé is a French singer-songwriter known for his heartfelt lyrics and a sound that merges electronic beats with contemporary pop melodies. His music often explores themes of love, identity, and introspection, resonating with a wide audience in the Francophone music scene.</t>
  </si>
  <si>
    <t>Hervé's music is characterized by a seamless fusion of electronic and pop elements, paired with emotionally charged lyrics that connect deeply with listeners. His ability to craft catchy yet introspective tracks has earned him recognition in the French music industry.</t>
  </si>
  <si>
    <t>Van Ivoorkust naar Amsterdam, dat is de route die Hervé aflegde alvorens naam te maken als clubcultuurinfluencer met duizend pootjes. Zo is hij medeoprichter van platenlabel Polychrome Audio, clubnacht Interfering Grounds en creatieve hotspots en netwerken als Noord Space en Misuse. Maar bovenal doet Hervé, overigens ook de helft van Noord Loop, zijn ding achter de decks, waar zijn groovy, progressieve en psychedelische house- en technosets bubbelen van de acidsynths, rollende bassen en kosmische melodielijnen. Precies datgene waarvoor je als dansgrage festivalganger uit je rabbit hole rolt.
Beeld door: Marius Renard</t>
  </si>
  <si>
    <t>From Ivory Coast to Amsterdam, that’s the journey Hervé undertook before making a name for himself as a club culture influencer with countless talents. He is co-founder of the record label Polychrome Audio, the club night Interfering Grounds, and creative hubs and networks like Noord Space and Misuse. But above all, Hervé—also one half of Noord Loop—does his thing behind the decks, where his groovy, progressive, and psychedelic house and techno sets bubble with acid synths, rolling basslines, and cosmic melodies. Exactly the kind of vibe that gets festival-goers dancing out of their rabbit holes.
Image by: Marius Renard</t>
  </si>
  <si>
    <t>[using festival bio due to a lack of publicly available data] For her record arsenal, Jannah roams through the grittiest corners of the underground. The Utrecht-based DJ showcases her love for the rawer edges of house, electro, acid, and techno in blistering sets. At times, it sounds as if the pounding beats are collapsing under their own weight, and that’s exactly the point. Jannah expertly weaves together gritty textures and feverish grooves, sending her grandiose sets in all directions. This is deep and wild club music, full of progressive edges and addictive sonic intensity.</t>
  </si>
  <si>
    <t>For her record arsenal, Jannah roams through the grittiest corners of the underground. The Utrecht-based DJ showcases her love for the rawer edges of house, electro, acid, and techno in blistering sets. At times, it sounds as if the pounding beats are collapsing under their own weight, and that’s exactly the point. Jannah expertly weaves together gritty textures and feverish grooves, sending her grandiose sets in all directions. This is deep and wild club music, full of progressive edges and addictive sonic intensity.</t>
  </si>
  <si>
    <t>Deze trompettist, dj en producer tuurt al zijn hele leven naar de sterren. Als kind wilde Kareem Ali raketwetenschapper worden. Nu maakt hij kosmische deephouse, geïnspireerd door afrofuturistische iconen als Sun Ra en cult-technogroep Drexciya. Zijn grootste voorbeeld is echter Miles Davis, het genie dat alle regels van jazz herschreef. Dat motiveerde Kareem Ali om zijn trompetspel op het podium te versmelten met elektronische muziek. Door die unieke mix van stratosferische house en analoge klanken staat deze hyperproductieve muzikant te boek als het grootste opkomende talent in de Amerikaanse clubscene.</t>
  </si>
  <si>
    <t>[using festival bio due to a lack of publicly available data] Layers—Luna Ludmila loves them. As a DJ, but also in a live setup. Whether it’s through an audiovisual performance or solo behind a cluster of electronics. In the latter capacity, she visits REX, offering an experience that feels like the dance floor equivalent of a wellness session. A graduate in composition and sound design, the Utrecht-based artist knows exactly how to massage all your senses to a peak: with dubby house and techno grooves, interwoven with complex rhythms and atmospheric structures carved from ambient and downtempo. Perfect for an endless dance trip.</t>
  </si>
  <si>
    <t>Layers—Luna Ludmila loves them. As a DJ, but also in a live setup. Whether it’s through an audiovisual performance or solo behind a cluster of electronics. In the latter capacity, she visits REX, offering an experience that feels like the dance floor equivalent of a wellness session. A graduate in composition and sound design, the Utrecht-based artist knows exactly how to massage all your senses to a peak: with dubby house and techno grooves, interwoven with complex rhythms and atmospheric structures carved from ambient and downtempo. Perfect for an endless dance trip.</t>
  </si>
  <si>
    <t>Het levende bewijs dat twee beter is dan één vind je in het duo Lysah en Kim Josefine. Deze liefhebbers van alles wat boogiet, swingt en groovet komen met dubbel zoveel dansplezier door hun disco-heavy platencollectie te delen. Beiden hebben hun zomerse sounds al in Nijmegen op de kaart gezet, waar Lysah bij Open Source Radio opbeurende plaatjes cureert, terwijl Kim Josefine als resident bij PAAK Vinyl Bar schatgraaft naar het zwarte goud. Het moge duidelijk zijn: vier oren horen meer dan twee.
Beeld Lysah door: Elske Nissen&amp;nbsp;</t>
  </si>
  <si>
    <t>Nick León (live)</t>
  </si>
  <si>
    <t>Nick León is a Miami-based producer known for his experimental approach to electronic music, fusing elements of Miami bass, reggaeton, and ambient soundscapes. He has gained recognition for his intricate production style and collaborations with artists like Rosalía and Arca.</t>
  </si>
  <si>
    <t>Nick León's music stands out for its innovative fusion of Miami bass, reggaeton rhythms, and experimental electronic textures, creating a sound that is both forward-thinking and deeply rooted in his Miami upbringing. His collaborations with high-profile artists like Rosalía and Arca further highlight his influence and versatility in the electronic music scene.</t>
  </si>
  <si>
    <t>Deze vooruitstrevende deejay en producer timmert al ruim een decennium aan de weg met tracks die alle clubstijlen van Miami samenbrengen – denk stomend hete techno met de swagger van reggaeton, ballroom en Miami Bass. Afgelopen jaar resulteerde dat in magnum opus ‘A Tropical Entropy’, een weergaloos album dat kritiek op de politieke wanorde van de dag verpakt in gloeiende latin club in de breedste zin des woords. Laat verhalenverteller León je meevoeren naar zijn Magic City in de al even betoverende REX.
Beeld door: Caterina Haddad</t>
  </si>
  <si>
    <t>This trailblazing DJ and producer has been making waves for over a decade with tracks that blend all the club styles of Miami—think sizzling hot techno infused with the swagger of reggaeton, ballroom, and Miami Bass. Last year, this culminated in the magnum opus *A Tropical Entropy*, a stunning album that wraps criticism of today's political chaos in the glowing embrace of Latin club music in its broadest sense. Let storyteller León transport you to his Magic City in the equally enchanting REX.
Image by: Caterina Haddad</t>
  </si>
  <si>
    <t>[using festival bio due to a lack of publicly available data] A high-end Danley sound system, some drinks, and your favorite tunes on vinyl in heavenly hi-fi: for the purists among us, no greater pleasure exists. The team from PAAK Vinyl Bar in Nijmegen knows this too, which is why they’re bringing their favorite records to the Groene Heuvels for the perfect listening session of top-class music. Founder Mario Marini warmly welcomes you, and living legend Tom Trago joins in. An ideal curation, as Trago’s exquisite, wide-ranging connoisseur taste deserves attentive ears in perfect conditions.</t>
  </si>
  <si>
    <t>Een high-end Danley-soundsystem, wat drankjes en je favoriete tunes op vinyl in hemelse hifi: voor de puristen onder ons is er geen groter genot mogelijk. Het team van PAAK Vinyl Bar in Nijmegen weet dat ook en daarom nemen ze hun favoriete platen mee naar de Groene Heuvels voor de perfecte luistersessie van klassemuziek. Oprichter Mario Marini heet je meer dan welkom en living legend Tom Trago schuift aan. Een ideale curatie, want Trago’s uitgelezen, breed waaierende fijnproeverssmaak verdient luisterende oren in perfecte omstandigheden.</t>
  </si>
  <si>
    <t>A high-end Danley sound system, some drinks, and your favorite tunes on vinyl in heavenly hi-fi: for the purists among us, no greater pleasure exists. The team from PAAK Vinyl Bar in Nijmegen knows this too, which is why they’re bringing their favorite records to the Groene Heuvels for the perfect listening session of top-class music. Founder Mario Marini warmly welcomes you, and living legend Tom Trago joins in. An ideal curation, as Trago’s exquisite, wide-ranging connoisseur taste deserves attentive ears in perfect conditions.</t>
  </si>
  <si>
    <t>Sommige producers hebben de magic touch. Alles wat ze aanraken verandert simpelweg in goud, ongeacht het genre. De Amsterdam-based London legend Pariah is zo’n uitzonderlijke artiest. Zo’n vijftien jaar geleden sloopte hij Britse dansvloeren met zijn perfecte kruising van vunzige dubstep en wulpse garage. Als Karenn perfectioneerde hij met kompaan Blawan weer het recept voor puntgave modulaire techno. Zelfs zijn uitgerekte ambient – voor veel danceproducers slechts een bijgerecht – luistert heerlijk weg. Achter de decks mag Pariah dus alle kanten op, het resulteert toch altijd in eersteklas clubmuziek.
Beeld door: Kasia Zacharko</t>
  </si>
  <si>
    <t>Some producers have the magic touch. Everything they touch simply turns to gold, regardless of the genre. The Amsterdam-based London legend Pariah is one such exceptional artist. About fifteen years ago, he tore up British dance floors with his perfect fusion of gritty dubstep and sultry garage. As part of Karenn, alongside his partner Blawan, he perfected the recipe for flawless modular techno. Even his stretched-out ambient tracks—often just a side dish for many dance producers—are a delight to listen to. Behind the decks, Pariah can go in any direction, yet it always results in top-notch club music.
Image by: Kasia Zacharko</t>
  </si>
  <si>
    <t>Sommige elektronische muziek nodigt je uit om je ogen te sluiten en weg te dromen richting verre oorden. Ryan Lee West maakt die sound als Rival Consoles: atmosferische onderdompelingen in onbekend terrein. Hij sleutelt al bijna twintig jaar aan synthesizers en drumcomputers om zijn filmische ambient-techno te perfectioneren. Met zijn nieuwste album ‘Landscape from Memory’ hoor je wat hij zelf beschrijft als zijn hernieuwde liefde voor componeren. Die meeslepende elektronica vertaalt hij op het podium naar immersieve shows die je zintuigen kietelen.
Beeld door: Sisi Nipannan</t>
  </si>
  <si>
    <t>[using festival bio due to a lack of publicly available data] With over twenty years of experience under his belt, Tom Trago can rightly be called a veteran of the Dutch dance scene. Fortunately, this vibrant legend never falls into repetition. With audible joy, the internationally renowned Dutchman continuously reinvents himself. After several albums and countless singles, he now does so with ‘Ignorance,’ a dance record that delightfully bounces between quirky electro and solid bangers. The title refers to the growing absurdity of the world. And yet, dancing is still encouraged, because ignorance is bliss!</t>
  </si>
  <si>
    <t>Met ruim twintig jaar ervaring op zak mag je Tom Trago een veteraan van de Nederlandse dancescene noemen. Gelukkig valt deze springlevende legende nooit in de herhaling. Met hoorbaar plezier vindt de internationaal gerenommeerde Hollander zichzelf steeds weer opnieuw uit. Na meerdere albums en talloze singles doet hij dat nu met ‘Ignorance’, een dansplaat die heerlijk tegendraads tussen vreemde electro en stevige bangers stuitert. De titel slaat op de groeiende idiotie van de wereld. En toch mag er nog altijd gedanst worden, want ignorance is bliss!</t>
  </si>
  <si>
    <t>With over twenty years of experience under his belt, Tom Trago can rightly be called a veteran of the Dutch dance scene. Fortunately, this vibrant legend never falls into repetition. With audible joy, the internationally renowned Dutchman continuously reinvents himself. After several albums and countless singles, he now does so with ‘Ignorance,’ a dance record that delightfully bounces between quirky electro and solid bangers. The title refers to the growing absurdity of the world. And yet, dancing is still encouraged, because ignorance is bliss!</t>
  </si>
  <si>
    <t>[using festival bio due to a lack of publicly available data] Why wasn’t it thought of earlier to have these unique producers and DJs perform b2b? Both are celebrated at home and abroad as brilliant artists who push the boundaries of club music with their flawless sound. gyrofield’s refined drum-and-bass is both razor-sharp and artistically sophisticated. The same goes for upsammy’s dynamic electronic music: highly danceable yet impossible to categorize. Together, this duo draws from the deepest depths of electronic music—a match made in the Groene Heuvels.</t>
  </si>
  <si>
    <t>Waarom is er niet eerder bedacht om deze unieke producers en dj’s b2b te laten draaien? Beiden worden in binnen- en buitenland onthaald als briljante artiesten, die de grenzen van clubmuziek met hun feilloze muziek verleggen. Zo is de geraffineerde drum-’n-bass van gyrofield glashard én artistiek onderlegd. Hetzelfde kun je zeggen over de beweeglijke elektronische muziek van upsammy: uiterst dansbaar, maar niet in hokjes te plaatsen. Samen put dit duo uit de diepste diepten van de elektronische muziek – een match made in de Groene Heuvels.</t>
  </si>
  <si>
    <t>Why wasn’t it thought of earlier to have these unique producers and DJs perform b2b? Both are celebrated at home and abroad as brilliant artists who push the boundaries of club music with their flawless sound. gyrofield’s refined drum-and-bass is both razor-sharp and artistically sophisticated. The same goes for upsammy’s dynamic electronic music: highly danceable yet impossible to categorize. Together, this duo draws from the deepest depths of electronic music—a match made in the Groene Heuvels.</t>
  </si>
  <si>
    <t>‘Enigma’ vat Vegyn goed samen, want Londoner Joseph Thornalley vermijdt het liefst de schijnwerpers. Vooral achter de computer is dit wonderkind in zijn element, als lopende-bandfabriek voor aparte beats die zomaar op een album van Travis Scott of Frank Ocean kunnen belanden. Zijn eigen releases zijn nog wonderlijker: glinsterende combinaties van triphop, trap, garage en house, die barsten van eclectische en geestige samples die op onbeschrijfelijke wijze altijd goed voelen. Pak dus je kans, want deze mysterieuze en meesterlijke muzikale duizendpoot live meemaken is een absoluut unicum.
Beeld door: Zamar Velez</t>
  </si>
  <si>
    <t>‘Enigma’ sums up Vegyn perfectly, as Londoner Joseph Thornalley prefers to avoid the spotlight. This prodigy is most in his element behind the computer, churning out unique beats that could easily end up on an album by Travis Scott or Frank Ocean. His own releases are even more extraordinary: shimmering combinations of trip-hop, trap, garage, and house, bursting with eclectic and witty samples that, in an indescribable way, always feel just right. So seize the opportunity, because experiencing this mysterious and masterful musical polymath live is an absolute rarity.
Image by: Zamar Velez</t>
  </si>
  <si>
    <t>[using festival bio due to a lack of publicly available data] It takes a fantastic DJ to seamlessly weave the diverse club styles of London and its surroundings into organic sets. Verity does so with flair. Effortlessly, she leaps across the boundaries of dubstep, jungle, techno, electro, and even stranger club mutations, making the dance floor float in pure musical euphoria. This club artist doesn’t just dance across boundaries behind the decks. She draws inspiration from trips to Detroit, England, and Japan. You can hear those musical journeys reflected in her masterful sets, which are always in motion and constantly electrifying.
Image by: Clara Franke</t>
  </si>
  <si>
    <t>It takes a fantastic DJ to seamlessly weave the diverse club styles of London and its surroundings into organic sets. Verity does so with flair. Effortlessly, she leaps across the boundaries of dubstep, jungle, techno, electro, and even stranger club mutations, making the dance floor float in pure musical euphoria. This club artist doesn’t just dance across boundaries behind the decks. She draws inspiration from trips to Detroit, England, and Japan. You can hear those musical journeys reflected in her masterful sets, which are always in motion and constantly electrifying.
Image by: Clara Franke</t>
  </si>
  <si>
    <t>Als je vertrekpunt chirurgische drum-’n-bass is, weet je hoe diep het mes mag snijden. Zohar doet dat met waanzinnige abstracte clubbangers, waarin de drums heen en weer ketsen en de low end maar door blijft ratelen. Alsof je in een luchtdrukcabine zit en de muren opeens op je af lijken te komen. Die kunstzinnige interpretatie van grensverleggende clubmuziek zet Zohar niet alleen door met hun eigen ZHR-label, maar ook met uitstapjes in de wereld van conceptuele sound-art en film, waar het grijze gebied tussen de club en installatiekunst verkend wordt.
Beeld door: Leendert</t>
  </si>
  <si>
    <t>[using festival bio due to a lack of publicly available data] Yoga, classical music, a phenomenal cup of coffee within reach; in the Green Hills, waking up is always a delight. At the day and night club REX, you also start every morning relaxed with the Morning Rave, a mellow and mindful kickstart to your festival day, fueling you with boundless new energy and a connection to yourself and others. First, a guided meditation with stretching and breathing exercises helps you find your center, followed by movement improvisation that gradually builds into more intense dancing. Awake and warmed up? Then an euphoric rave erupts, complete with all the glitter &amp; glow you’ve come to expect from Down The Rabbit Hole. And you know: raving is living.</t>
  </si>
  <si>
    <t>Yoga, classical music, a phenomenal cup of coffee within reach; in the Green Hills, waking up is always a delight. At the day and night club REX, you also start every morning relaxed with the Morning Rave, a mellow and mindful kickstart to your festival day, fueling you with boundless new energy and a connection to yourself and others. First, a guided meditation with stretching and breathing exercises helps you find your center, followed by movement improvisation that gradually builds into more intense dancing. Awake and warmed up? Then an euphoric rave erupts, complete with all the glitter &amp; glow you’ve come to expect from Down The Rabbit Hole. And you know: raving is living.</t>
  </si>
  <si>
    <t>Dat de sets van Ahadadream lekker hoog in hun energie zitten is het understatement van het jaar. De dj/producer en labelbaas is gespecialiseerd in percussiegedreven bangers op ritmes en grooves uit Zuid-Aziatische landen en de Afrikaanse diaspora – die in de mix wonderwel bij UK bass, grime, amapiano, R&amp;amp;B en nog veel meer blijken te passen. Skrillex is fan van de begaafde curator, net als een breed scala aan smaakmakers en trendfluisteraars die niet uitgepraat raken over Ahadadreams ijskoude spanningsopbouw en zijn neusje voor de diepste drops.</t>
  </si>
  <si>
    <t>That Ahadadream's sets are high-energy is the understatement of the year. The DJ/producer and label boss specializes in percussion-driven bangers built on rhythms and grooves from South Asian countries and the African diaspora—seamlessly blending them with UK bass, grime, amapiano, R&amp;B, and much more. Skrillex is a fan of this gifted curator, as is a wide array of tastemakers and trendsetters who can't stop raving about Ahadadream's razor-sharp tension-building and his knack for the deepest drops.</t>
  </si>
  <si>
    <t>Arp Frique is niet voor een gat te vangen, laat staan een hokje. Naast zijn reguliere show op Down The Rabbit Hole met gospelfunksensatie The Perpetual Singers trakteert hij The Bizarre met alle liefde op een dj-set tjokvol fijne tunes uit eigen platencollectie. Daaruit pakt de selector/producer overwegend chic-freaky doordansers uit hete windstreken zoals Ghana en Kaapverdië, dus verwacht een pittige dosis peper in je zweet. Want zweten zul je: bij Arp Frique op de dansvloer staat de thermostaat altijd op standje disco-inferno.</t>
  </si>
  <si>
    <t>Arp Frique is not one to be easily pinned down, let alone boxed in. In addition to his regular show at Down The Rabbit Hole with gospel-funk sensation The Perpetual Singers, he’s treating The Bizarre to a DJ set packed with fine tunes from his personal record collection. From it, the selector/producer predominantly picks chic, freaky dancefloor gems from hot regions like Ghana and Cape Verde, so expect a fiery dose of spice in your sweat. Because sweat you will—on Arp Frique’s dance floor, the thermostat is always set to disco inferno.</t>
  </si>
  <si>
    <t>Rafa Andrade groeide op met vurige baile funk die vanuit voorbijrijdende auto’s door de straten van São Paulo knalde. In zijn vlijmscherpe tracks tilt BADSISTA die Braziliaanse straatcultuur naar een hoger niveau, door de minimalistische clubmuziek te injecteren met de adrenaline van ghetto, gabber, trance en hiphop. Inmiddels brengt BADSISTA zijn schurende en compromisloze Braziliaanse sound naar dansvloeren wereldwijd. Als oprichter van feministisch collectief Bandida geeft deze trans man bovendien vleugels aan een groeiend aantal getalenteerde queer dj’s en producers uit gemarginaliseerde gemeenschappen.</t>
  </si>
  <si>
    <t>Rafa Andrade grew up with fiery baile funk blasting through the streets of São Paulo from passing cars. In his razor-sharp tracks, BADSISTA elevates Brazilian street culture to a higher level by injecting minimalist club music with the adrenaline of ghetto, gabber, trance, and hip-hop. Today, BADSISTA brings his gritty and uncompromising Brazilian sound to dance floors worldwide. As the founder of the feminist collective Bandida, this trans man also empowers a growing number of talented queer DJs and producers from marginalized communities.</t>
  </si>
  <si>
    <t>[using festival bio due to a lack of publicly available data] In the mood for some sub-equatorial summer vibes? Enter Bronka. This upbeat DJ/producer was born in Montes Claros, southern Brazil, where he also took his first steps into electronic music. Nowadays, Bronka lives and works in Frankfurt, making his journey to the Groene Heuvels a bit easier, but his set will transport you straight to the South American club scene. A tropical barrage of jungle percussion, Brazilian beats, heavy basslines, electrifying baile funk, and UK garage, spiced up with chunks of dance and hip-hop hits if needed—complete with a sweat guarantee.</t>
  </si>
  <si>
    <t>In the mood for some sub-equatorial summer vibes? Enter Bronka. This upbeat DJ/producer was born in Montes Claros, southern Brazil, where he also took his first steps into electronic music. Nowadays, Bronka lives and works in Frankfurt, making his journey to the Groene Heuvels a bit easier, but his set will transport you straight to the South American club scene. A tropical barrage of jungle percussion, Brazilian beats, heavy basslines, electrifying baile funk, and UK garage, spiced up with chunks of dance and hip-hop hits if needed—complete with a sweat guarantee.</t>
  </si>
  <si>
    <t>Omdat er in de buitenwijken van Melbourne weinig te beleven viel, bracht Charlotte Frimpong haar tienerjaren door als kickflippende skater. Tot ze clubmuziek ontdekte. Wat begon met YouTube-video’s mixen, groeide uit tot het alias C. FRIM. Inmiddels doet de gerenommeerde dj haar Ghanees-Filipijnse roots eer aan met een explosieve fusie van globale clubsounds. De bonkende drums van gqom, hard drum, dancehall, jungle en talloze andere undergroundstijlen smelt ze samen in overweldigende, lijpe sets. Bovendien zet ze zich als medeoprichter van queerplatform Dutty Worldwide in voor radicale inclusiviteit op dansvloeren waar grenzen vervagen.</t>
  </si>
  <si>
    <t>Because there wasn’t much to do in the suburbs of Melbourne, Charlotte Frimpong spent her teenage years as a kickflipping skater. Until she discovered club music. What started with mixing YouTube videos evolved into the alias C. FRIM. Today, the renowned DJ honors her Ghanaian-Filipino roots with an explosive fusion of global club sounds. She blends the pounding drums of gqom, hard drum, dancehall, jungle, and countless other underground styles into overwhelming, mind-blowing sets. Moreover, as a co-founder of the queer platform Dutty Worldwide, she advocates for radical inclusivity on dance floors where boundaries blur.</t>
  </si>
  <si>
    <t>Raptor House’s Caracas-Born Trailblazer</t>
  </si>
  <si>
    <t>[using festival bio due to a lack of publicly available data] In the 1990s, DJ Babatr was at the forefront of raptor house, a fast, sample-heavy blend of hard techno, house, and tribal music, straight from the poorest neighborhoods of Caracas. This made him a living legend in Venezuela and beyond: after the first massively attended afternoon raves in the barrios, raptor house evolved into a lifestyle that has permeated the very fabric of the global Latin American diaspora. Let yourself be swept away by this Venezuelan house pioneer at The Bizarre, and you’ll inevitably fall under his spell.</t>
  </si>
  <si>
    <t>DJ Babatr stond in de jaren 90 aan de wieg van raptor house, een snelle, sample-heavy mix van hardtechno, house en tribal, rechtstreeks uit de armste wijken van Caracas. Dat maakte hem tot een levende legende in Venezuela en daarbuiten: na de eerste massaal bezochte middagraves in de barrio’s groeide raptor house uit tot een lifestyle, die tot in de haarvaten van de wereldwijde Latijns-Amerikaanse diaspora is doorgedrongen. Laat je ook meevoeren door deze Venezolaanse housepionier in The Bizarre en je gaat vanzelf voor de bijl.</t>
  </si>
  <si>
    <t>In the 1990s, DJ Babatr was at the forefront of raptor house, a fast, sample-heavy blend of hard techno, house, and tribal music, straight from the poorest neighborhoods of Caracas. This made him a living legend in Venezuela and beyond: after the first massively attended afternoon raves in the barrios, raptor house evolved into a lifestyle that has permeated the very fabric of the global Latin American diaspora. Let yourself be swept away by this Venezuelan house pioneer at The Bizarre, and you’ll inevitably fall under his spell.</t>
  </si>
  <si>
    <t>[using festival bio due to a lack of publicly available data] Fans of the Ugandan label Nyege Nyege Tapes know DJ Tobzy Imole Giwa as a defiant mixmaster with mash-ups that push your feet to the limit. They call it cruisebeat: the Nigerian DJ/producer injects soulful afrobeats with techno, gqom, amapiano, or baile funk, spliced with sirens, magic flutes, poison dart frog raps, a choir, and other wildly distorted samples and loops at his fingertips. In DJ Tobzy's club, you dance on the edge of a fever dream and a blissful trance—until dawn comes to take you home.
Image by Kwame Kaydee</t>
  </si>
  <si>
    <t>Fans van het Oegandese label Nyege Nyege Tapes kennen DJ Tobzy Imole Giwa als tegendraadse mixmeester met mash-ups die je voeten tot het uiterste drijven. Cruisebeat, noemen ze dat: de Nigeriaanse dj/producer geeft bezielde afrobeats injecties met techno, gqom, amapiano of baile funk, versneden met sirenes, toverfluiten, gifkikkerraps, een koor en andere crazy vervormde samples en loops onder zijn knoppen. Bij DJ Tobzy in de club dans je dan ook op het snijvlak van een koortsdroom en een gelukzalige roes – tot het ochtendgloren je komt halen.
Beeld door Kwame Kaydee</t>
  </si>
  <si>
    <t>Fans of the Ugandan label Nyege Nyege Tapes know DJ Tobzy Imole Giwa as a defiant mixmaster with mash-ups that push your feet to the limit. They call it cruisebeat: the Nigerian DJ/producer injects soulful afrobeats with techno, gqom, amapiano, or baile funk, spliced with sirens, magic flutes, poison dart frog raps, a choir, and other wildly distorted samples and loops at his fingertips. In DJ Tobzy's club, you dance on the edge of a fever dream and a blissful trance—until dawn comes to take you home.
Image by Kwame Kaydee</t>
  </si>
  <si>
    <t>Net als collega DJ Tobzy is DJ Travella een graag geziene gast bij Nyege Nyege, het festival en label uit Oeganda. Zelf komt Travella uit Tanzania, waar hij als jonge hond in Dar es Salaam werd aangestoken door de breeknekritmes van singeli. Dat is met gemiddeld 200-300 beats per minuut al een van de snelste muziekgenres ter wereld, maar Travella’s hyperactieve take spant de kroon: dit is singeli on steroids, met overstuurde synths en samples en meedogenloos roffelende drums die je zonder pardon naar de dansvloer trekken.&amp;nbsp;</t>
  </si>
  <si>
    <t>[using festival bio due to a lack of publicly available data] FAISAL is certainly no stranger to the Groene Heuvels, as the Antwerp DJ/producer consistently has the biggest names in his wake. Take his StuBru radio show ‘Abattoir Anvers’ with rapper Glints, for example, or the hip-hop crews IJSLAND and GLINTSAL, with whom he tore it up as beatmaker under the aliases Teddy Widder and Bossa Nova, respectively. As a connoisseur of top-tier hip-hop, soul, and house, FAISAL is set to bring the groove to The Bizarre this year with a solo set that promises to be even more electrifying than his sizzling b2b with blood brother Sef at #DTRH24.
Photo by Toon Verswijvel</t>
  </si>
  <si>
    <t>FAISAL is bepaald geen onbekende in de Groene Heuvels, want de Antwerpse dj/producer heeft steevast de dikste namen in zijn slipstream hangen. Neem zijn StuBru-radioshow ‘Abattoir Anvers’ met rapper Glints bijvoorbeeld, of de hiphopcrews IJSLAND en GLINTSAL, met wie hij als beatbakker respectievelijk Teddy Widder en Bossa Nova afbrak. Als connaisseur van de betere hiphop, soul en house komt FAISAL dit jaar The Bizarre met de groove gelijkmaken, een soloset die nog straffer belooft te worden dan zijn dampende b2b met bloedbroeder Sef op #DTRH24.
Beeld door Toon Verswijvel</t>
  </si>
  <si>
    <t>FAISAL is certainly no stranger to the Groene Heuvels, as the Antwerp DJ/producer consistently has the biggest names in his wake. Take his StuBru radio show ‘Abattoir Anvers’ with rapper Glints, for example, or the hip-hop crews IJSLAND and GLINTSAL, with whom he tore it up as beatmaker under the aliases Teddy Widder and Bossa Nova, respectively. As a connoisseur of top-tier hip-hop, soul, and house, FAISAL is set to bring the groove to The Bizarre this year with a solo set that promises to be even more electrifying than his sizzling b2b with blood brother Sef at #DTRH24.
Photo by Toon Verswijvel</t>
  </si>
  <si>
    <t>[using festival bio due to a lack of publicly available data] Galecta flew from Manaus to the Netherlands and is putting the progressive sounds of the Brazilian underground on the map here. As the only Afro-Indigenous Brazilian female DJ in Europe, she electrifies dance floors with explosive sets full of bruxaria, mandelão, afrofunk, and other Latin American influences. The hypermodern version of funk she delivers can hit with insane intensity, yet despite all that sonic chaos, she never loses sight of your hunger to dance. Amid the raw, dark beats are bouncing bangers that crank up the energy to exhilarating levels.</t>
  </si>
  <si>
    <t>Galecta vloog over van Manaus naar Nederland en zet hier de vooruitstrevende sounds van de Braziliaanse underground op de kaart. Als enige Afro-inheems Braziliaanse vrouwelijke dj in Europa injecteert ze dansvloeren met licht ontvlambare sets vol bruxaria, mandelão, afrofunk en andere Latijns-Amerikaanse invloeden. De hypermoderne versie van funk die ze serveert kan krankzinnig hard knallen, maar ondanks al die sonische chaos verliest ze je danshonger nooit uit het oog. Tussen de rauwe, duistere beats zitten stuiterende bangers die het kwikgehalte lekker omhoogtillen.</t>
  </si>
  <si>
    <t>Galecta flew from Manaus to the Netherlands and is putting the progressive sounds of the Brazilian underground on the map here. As the only Afro-Indigenous Brazilian female DJ in Europe, she electrifies dance floors with explosive sets full of bruxaria, mandelão, afrofunk, and other Latin American influences. The hypermodern version of funk she delivers can hit with insane intensity, yet despite all that sonic chaos, she never loses sight of your hunger to dance. Amid the raw, dark beats are bouncing bangers that crank up the energy to exhilarating levels.</t>
  </si>
  <si>
    <t>Lisbon’s heartbeat, longing in rhythm.</t>
  </si>
  <si>
    <t>[using festival bio due to a lack of publicly available data] The sun-drenched sound of GRCA. has roots in Angola and Portugal. In The Bizarre, he serves up his favorite batida, tarraxo, and afrotech—tropical dance music you can hear on every street corner in certain neighborhoods of Lisbon. His sets are both energetic and sensual, with a touch of melancholy for those who appreciate it. In beautiful Portuguese, this is called saudade, the longing for something that isn't there. That’s precisely the beauty of GRCA.: that nostalgic yearning comes vividly to life in the finest tunes from his record collection.</t>
  </si>
  <si>
    <t>The sun-drenched sound of GRCA. has roots in Angola and Portugal. In The Bizarre, he serves up his favorite batida, tarraxo, and afrotech—tropical dance music you can hear on every street corner in certain neighborhoods of Lisbon. His sets are both energetic and sensual, with a touch of melancholy for those who appreciate it. In beautiful Portuguese, this is called saudade, the longing for something that isn't there. That’s precisely the beauty of GRCA.: that nostalgic yearning comes vividly to life in the finest tunes from his record collection.</t>
  </si>
  <si>
    <t>Hibotep is nog zo’n kroonjuweel van het Nyege Nyege-collectief uit Oeganda. De Somalische is onder meer actief als dj, producer en kledingontwerpster, kan heel aardig rappen, regisseert clips en maakt kunstinstallaties. Als selector is ze al net zo veelzijdig, tijdens intense, onvoorspelbare doordanssets waar ze traditioneel Afrikaanse stijlen behendig versmelt met techno, grime, drum-‘n-bass en trap – haar grote liefde, want Hibotep werd vroeger niet voor niets de Trap Priestess genoemd. En je kent het aloude gezegde in The Bizarre: wie bass zaait, zal extase oogsten.&amp;nbsp;
Beeld door Picass Art</t>
  </si>
  <si>
    <t>Hibotep is yet another crown jewel of the Nyege Nyege collective from Uganda. The Somali artist is active as a DJ, producer, and fashion designer, has a knack for rapping, directs music videos, and creates art installations. As a selector, she is just as versatile, delivering intense, unpredictable dance sets where she skillfully blends traditional African styles with techno, grime, drum and bass, and trap—her great love, as Hibotep was once aptly dubbed the Trap Priestess. And you know the old saying in The Bizarre: those who sow bass shall reap ecstasy.  
Image by Picass Art</t>
  </si>
  <si>
    <t>[using festival bio due to a lack of publicly available data] In these gender-fluid times, it should come as no surprise: King Kami is actually a Queen. Kamila Ferreira from Lisbon, pleased to meet you. The Brazilian-born DJ/producer earns that stage name thanks to a powerful and commanding blend of her baile funk and brega (funk) roots with grittier styles like bass, electro, footwork, breakbeat, and jungle. An exquisite mix that allows Kami to go in so many directions that every set becomes a new addictive surprise, no matter where she performs. Exactly what you’d hope for from a DJ royal. All hail the King!
Image by Mário Silva</t>
  </si>
  <si>
    <t>In deze genderfluïde tijden hoeft het geen verbazing te wekken: King Kami is eigenlijk een Queen. Kamila Ferreira uit Lissabon, aangenaam. Die artiestennaam verdient de van oorsprong Braziliaanse dj/producer vooral dankzij een machtige en krachtige blend van haar baile funk- en brega (funk)-roots met rauwere stijlen als bass, electro, footwork, breakbeat en jungle. Een exquise mix waarmee Kami zoveel kanten op kan dat elke set weer een nieuwe verslavende verrassing is, waar ze ook draait. Precies wat je hoopt van een dj-royal. All hail the King!
Beeld door Mário Silva</t>
  </si>
  <si>
    <t>In these gender-fluid times, it should come as no surprise: King Kami is actually a Queen. Kamila Ferreira from Lisbon, pleased to meet you. The Brazilian-born DJ/producer earns that stage name thanks to a powerful and commanding blend of her baile funk and brega (funk) roots with grittier styles like bass, electro, footwork, breakbeat, and jungle. An exquisite mix that allows Kami to go in so many directions that every set becomes a new addictive surprise, no matter where she performs. Exactly what you’d hope for from a DJ royal. All hail the King!
Image by Mário Silva</t>
  </si>
  <si>
    <t>[using festival bio due to a lack of publicly available data] As a bassist for artists like Little Simz and Obongjayar, Marla Kether has graced countless stages — including Hotot earlier this weekend. After her mesmerizing set in last year's rain, she returns to The Bizarre by popular demand as a DJ/producer. Afrohouse, batacuda, and Congolese soukous form the foundation for warm, soulful dance music from the global diaspora, drawing from jazz and old-school funk as well as modern dembow and kuduro. This blend of electronic and analog gives her sets an almost spiritual dimension, while effortlessly keeping the party vibe alive.
Image by Lotte Annie Turner</t>
  </si>
  <si>
    <t>Als bassist voor onder meer Little Simz en Obongjayar heeft Marla Kether al op talloze podia gestaan – waaronder Hotot eerder dit weekend. Na haar hypnotiserende set in de regen van vorig jaar keert ze als dj/producer op veler verzoek ook terug naar The Bizarre. Afrohouse, batacuda en Congolese soukous vormen de basis voor warme, soulvolle dansmuziek uit de globale diaspora, die zowel op jazz en oldschool funk als op moderne dembow en kuduro leunt. Die mix van elektronisch en analoog geeft haar sets een bijna spirituele lading, terwijl het partygehalte moeiteloos hoog blijft.
Beeld door Lotte Annie Turner</t>
  </si>
  <si>
    <t>As a bassist for artists like Little Simz and Obongjayar, Marla Kether has graced countless stages — including Hotot earlier this weekend. After her mesmerizing set in last year's rain, she returns to The Bizarre by popular demand as a DJ/producer. Afrohouse, batacuda, and Congolese soukous form the foundation for warm, soulful dance music from the global diaspora, drawing from jazz and old-school funk as well as modern dembow and kuduro. This blend of electronic and analog gives her sets an almost spiritual dimension, while effortlessly keeping the party vibe alive.
Image by Lotte Annie Turner</t>
  </si>
  <si>
    <t>Rotterdam is altijd al de Nederlandse broedplaats van bubbling en andere snikhete clubmuziek geweest. Inmiddels is NEMS de stedelijke hofleverancier van al die zwoele, vunzige bangers en onweerstaanbare party-anthems. De Rotterdamse dj is een aanstormend talent dat de gouden middenweg vindt tussen broeierige dancehall, dreunende amapiano, hitsige afrobeats en de hardste tracks van vooral vrouwelijke rappers. Recent wapenfeit is haar pittige remix van Frenna’s ‘My Love’, waarin zijn soepele flow wordt omringd door hypnotiserende tribal beats en een overweldigende diepe subbass.</t>
  </si>
  <si>
    <t>[using festival bio due to a lack of publicly available data] What you see is what you get: Onda Collective is, indeed, a collective. A DJ collective, operating out of Amsterdam. But not just any collective: we're talking about a group of dancefloor igniters who blend their Brazilian and Afro-Latin roots with the raw underground club culture. That means plenty of baile funk, brega, arrocha, afrohouse, shuffling percussion, breaks, bass, and more experimental electronics, all marinated in a bath full of love. It’s no surprise that it can get busy behind the CDJs, but with a bit of b2b coordination, all party signals are set to green.</t>
  </si>
  <si>
    <t>Wat je ziet is wat je krijgt: Onda Collective is, inderdaad, een collectief. Een dj-collectief, opererend vanuit Amsterdam. Maar niet zomaar eentje: we hebben het hier over een verzameling dansvloeraanjagers die hun Braziliaanse en afro-latinwortels kruisen met de rauwe undergroundclubcultuur. Dat betekent veel baile funk, brega, arrocha, afrohouse, ritselpercussie, breaks, bass en meer experimentele elektronica, gemarineerd in een bad vol liefde. Dat het daarbij druk kan zijn achter de CDJ’s laat zich raden, maar met een beetje b2b inschikken kunnen alle feestseinen op groen.</t>
  </si>
  <si>
    <t>What you see is what you get: Onda Collective is, indeed, a collective. A DJ collective, operating out of Amsterdam. But not just any collective: we're talking about a group of dancefloor igniters who blend their Brazilian and Afro-Latin roots with the raw underground club culture. That means plenty of baile funk, brega, arrocha, afrohouse, shuffling percussion, breaks, bass, and more experimental electronics, all marinated in a bath full of love. It’s no surprise that it can get busy behind the CDJs, but with a bit of b2b coordination, all party signals are set to green.</t>
  </si>
  <si>
    <t>Voor Rozaly zijn de uitbundige microdansgenres van de Caraïben cultureel erfgoed van de hoogste orde. Zijn levensmissie is om al die uiteenlopende riddimstijlen in kaart te brengen. De archivaris/dj/producer komt dus met de absolute highlights van wat hij ‘Carnival Ganza’ noemt: euforische soca, hyperactieve Dennery segment en libidineuze bouyon. Die laatstgenoemde stijl is het uitgangspunt van zijn nieuwe formatie. RIDDIMBOX is een volledig improviserende liveband met vervreemdende melodieën, krankzinnige tempo’s van percussionist Nicolini (Devon Rexi) en opzwepende vocalen van de Amsterdamse mc toff youth.</t>
  </si>
  <si>
    <t>[using festival bio due to a lack of publicly available data] And now for something completely different: no DJ, no band, but a Brazilian live party with musicians gathered around a table, the roda da samba. Roda da Holanda is the Dutch version, with lead singer Femke Smit as the eye-catcher and, in addition to samba, other Brazilian styles like forró, choro, and bossa nova on the menu. It may read as something unique, but it sounds flawless thanks to an extensive parade of instruments, including a generous array of percussion, perfect for festive drumming and singing at the top of your lungs. Perfect for a lively dance party, with nothing but happy faces. Carnival in the Green Hills!</t>
  </si>
  <si>
    <t>And now for something completely different: geen dj, geen band, maar een Braziliaans livefeest met muzikanten rond een tafel, de roda da samba. Roda da Holanda is de Hollandse variant, met leadzangeres Femke Smit als blikvanger en behalve samba ook andere Braziliaanse stijlen als forró, choro en bossanova op het menu. Leest apart, klinkt als een klok dankzij een uitgebreide instrumentenparade, inclusief een ruime voorraad percussie, waarop het uitermate feestelijk trommelen en uit volle borst meezingen is. Goed voor een uitbundig dansfestijn, met alleen maar blije gezichten. Carnaval in de Groene Heuvels!</t>
  </si>
  <si>
    <t>And now for something completely different: no DJ, no band, but a Brazilian live party with musicians gathered around a table, the roda da samba. Roda da Holanda is the Dutch version, with lead singer Femke Smit as the eye-catcher and, in addition to samba, other Brazilian styles like forró, choro, and bossa nova on the menu. It may read as something unique, but it sounds flawless thanks to an extensive parade of instruments, including a generous array of percussion, perfect for festive drumming and singing at the top of your lungs. Perfect for a lively dance party, with nothing but happy faces. Carnival in the Green Hills!</t>
  </si>
  <si>
    <t>Sèsè</t>
  </si>
  <si>
    <t>[using festival bio due to a lack of publicly available data] You could best describe him as a musical tastemaker. Arnhem-based DJ Sèsè Aloe is a sonic treasure hunter who can delve quite deep in his diverse sets. Hidden gems from the African diaspora can just as easily make an appearance as hard-hitting rave bangers. As a resident at the le trou collective, Sèsè understands that music is an essential part of a broader cultural experience. This collective connects people through music, cuisine, and culture—a sensory total experience that Sèsè also seeks to capture in his sets.</t>
  </si>
  <si>
    <t>Je zou hem het best kunnen bestempelen als een muzikale smaakmaker. De Arnhemse deejay Sèsè Aloe is namelijk een sonische schatgraver die in zijn uiteenlopende sets behoorlijk diep kan gaan. Verborgen pareltjes uit de Afrikaanse diaspora kunnen net zo gemakkelijk langskomen als snoeiharde ravebangers. Als resident bij het le trou collective snapt Sèsè dat muziek een wezenlijk onderdeel is van een grotere culturele beleving. Dit collectief verbindt mensen namelijk via muziek, cuisine en cultuur, een zintuiglijke totaalervaring die Sèsè ook in zijn sets opzoekt.</t>
  </si>
  <si>
    <t>You could best describe him as a musical tastemaker. Arnhem-based DJ Sèsè Aloe is a sonic treasure hunter who can delve quite deep in his diverse sets. Hidden gems from the African diaspora can just as easily make an appearance as hard-hitting rave bangers. As a resident at the le trou collective, Sèsè understands that music is an essential part of a broader cultural experience. This collective connects people through music, cuisine, and culture—a sensory total experience that Sèsè also seeks to capture in his sets.</t>
  </si>
  <si>
    <t>Vanuit uitvalsbasis Enschede bestookt dj Sia Sierra menige dansvloer met een peperhete mix van bouncy ghettotech en Miami bass, electronic baile en baile funk, breakbeats en afro – tropische clubmuziek met een rauwe, maar toch frisse undergroundvibe. Opwindend, dynamisch, hoog in de energie en ultiem dansbaar: haar gloeiend hete sets maakten al veel heupen los op feesten als Ghettolicious, festivals als Thuishaven en stations als Operator Radio, en krijgen nu een zinderend vervolg in de exotische ambiance van The Bizarre.</t>
  </si>
  <si>
    <t>[using festival bio due to a lack of publicly available data] As producers, Sim Fane and SIROJ work independently with the finest in the Dutch music scene, including S10, Jiggy Djé, and Yellow Claw. Together, they also form SIM—OJ, the DJ team of your wildest dreams and a super duo that creates irresistibly danceable pop tracks featuring guest appearances by Ronnie Flex, Froukje, and Gotu Jim—among many others. Their latest EP, *‘Buss It’* (2026), is packed with swaggy club vibes for days and feels almost tailor-made for a joint set on the open-air dance floor of The Bizarre. See you there.</t>
  </si>
  <si>
    <t>Als producers werken Sim Fane en SIROJ op eigen houtje met Nederlands finest, waaronder S10, Jiggy Djé en Yellow Claw. Samen vormen ze ook SIM—OJ, het dj-team van je stoutste dromen én een superduo dat razend dansbare popplaten maakt met gastrollen voor Ronnie Flex, Froukje en Gotu Jim – onder vele anderen. Hun nieuwste ep ‘Buss It’ (2026) heeft swaggy clubvibes voor dagen en lijkt haast op maat gemaakt voor een gezamenlijke set aan de open-airdansvloer van The Bizarre. Zie je daar.</t>
  </si>
  <si>
    <t>As producers, Sim Fane and SIROJ work independently with the finest in the Dutch music scene, including S10, Jiggy Djé, and Yellow Claw. Together, they also form SIM—OJ, the DJ team of your wildest dreams and a super duo that creates irresistibly danceable pop tracks featuring guest appearances by Ronnie Flex, Froukje, and Gotu Jim—among many others. Their latest EP, *‘Buss It’* (2026), is packed with swaggy club vibes for days and feels almost tailor-made for a joint set on the open-air dance floor of The Bizarre. See you there.</t>
  </si>
  <si>
    <t>[using festival bio due to a lack of publicly available data] Tienson is a remarkable young man, and that he truly is. By trade, he’s a percussionist with the Amsterdam-based Afro-jazz-funk collective Jungle By Night, but he’s also a dreamy Dutch-language singer-songwriter and rapper, while here he takes on the role of DJ. A true polymath, even in what he spins. In fact, Tienson’s music choices are utterly unpredictable. With playful ease, he weaves together, for instance, Eastern funk, Brazilian drum breaks, Japanese house, forgotten soul, obscure tropical oddities, Dutch hip-hop, or countless other genres and styles into an unforgettable, wondrous musical journey around the world.</t>
  </si>
  <si>
    <t>Tienson is a remarkable young man, and that he truly is. By trade, he’s a percussionist with the Amsterdam-based Afro-jazz-funk collective Jungle By Night, but he’s also a dreamy Dutch-language singer-songwriter and rapper, while here he takes on the role of DJ. A true polymath, even in what he spins. In fact, Tienson’s music choices are utterly unpredictable. With playful ease, he weaves together, for instance, Eastern funk, Brazilian drum breaks, Japanese house, forgotten soul, obscure tropical oddities, Dutch hip-hop, or countless other genres and styles into an unforgettable, wondrous musical journey around the world.</t>
  </si>
  <si>
    <t>[using festival bio due to a lack of publicly available data] According to TURBOLENTA, there's no need to jazz up traditional North African party music with heavy beats to get a dance floor moving. Even in its most classic form, Arabic dance music is explosive enough—just look at the brilliant tracks of Omar Souleyman, which get everyone on their feet. This Milan-based DJ/producer opts for a unique fusion of old-school Arabic tunes and global club sounds, aiming to firmly establish the music of her Italian, Moroccan, and Algerian roots on the map.</t>
  </si>
  <si>
    <t>Volgens TURBOLENTA hoef je traditionele feestmuziek uit Noord-Afrika helemaal niet op te pimpen met dikke beats om een dansvloer op dreef te krijgen. Zelfs in haar meest klassieke vorm is Arabische dance namelijk knallend genoeg – zie de briljante tracks van Omar Souleyman, die elk voetje van de vloer krijgen. Deze dj/producer uit Milaan gaat daarom voor een unieke kruisbestuiving van oldschool Arabische tunes en global club, met als doel de muziek van haar Italiaanse, Marokkaanse en Algerijnse roots blijvend op de kaart te zetten.</t>
  </si>
  <si>
    <t>According to TURBOLENTA, there's no need to jazz up traditional North African party music with heavy beats to get a dance floor moving. Even in its most classic form, Arabic dance music is explosive enough—just look at the brilliant tracks of Omar Souleyman, which get everyone on their feet. This Milan-based DJ/producer opts for a unique fusion of old-school Arabic tunes and global club sounds, aiming to firmly establish the music of her Italian, Moroccan, and Algerian roots on the map.</t>
  </si>
  <si>
    <t>[using festival bio due to a lack of publicly available data] Many people associate Yucky with bubbling, but the buzzy DJ/producer has much more to offer. No surprise, as he's been in the studio since the age of eleven, acquiring at least as many skills as his father Chuckie, the legendary DJ from The Hague. His signature: Yucky crafts raw, experimental bangers blending hip-hop, pop, and feverish diasporic styles, fusing them in the club with tropical booty-shakers. Let yourself be carried away one more time on Sunday night in The Bizarre by this unpredictable crown prince—a dream finale leading into the break of dawn.</t>
  </si>
  <si>
    <t>Veel mensen associëren Yucky met bubbling, maar de buzzy dj/producer heeft veel meer in zijn mars. Geen wonder, want hij is al sinds zijn elfde in de studio te vinden en heeft in die tijd minstens zoveel skills opgedaan als vader Chuckie, de Haagse dj-legend. Zijn signature: Yucky smeedt rauwe experimentele bangers van hiphop, pop en koortsige diasporastijlen en versmelt die in de club met tropische bootyshakers. Laat je zondagnacht in The Bizarre daarom nog een keer meevoeren door deze onvoorspelbare kroonprins, een droomfinale richting het ochtendgloren.&amp;nbsp;</t>
  </si>
  <si>
    <t>Many people associate Yucky with bubbling, but the buzzy DJ/producer has much more to offer. No surprise, as he's been in the studio since the age of eleven, acquiring at least as many skills as his father Chuckie, the legendary DJ from The Hague. His signature: Yucky crafts raw, experimental bangers blending hip-hop, pop, and feverish diasporic styles, fusing them in the club with tropical booty-shakers. Let yourself be carried away one more time on Sunday night in The Bizarre by this unpredictable crown prince—a dream finale leading into the break of dawn.</t>
  </si>
  <si>
    <t>YŮSU</t>
  </si>
  <si>
    <t>[using festival bio due to a lack of publicly available data] In The Bizarre, the world knows no boundaries. One DJ after another takes you on a virtual journey of discovery across countries and continents, searching for the unifying dance factor. YŮSU from Amsterdam also proves to be a skilled operator in this, harvesting her hypnotic rhythms and tribal grooves primarily from Africa, but intertwining them with Western soul, jazz, funk, and R&amp;B. She does this from Dubai to Dakar and from Brussels to Accra, where she also pays tribute to her Ghanaian roots.</t>
  </si>
  <si>
    <t>In The Bizarre kent de wereld geen grenzen. De ene na de andere dj neemt je mee op een virtuele ontdekkingstocht langs landen en continenten, op zoek naar de verbindende dansfactor. Ook YŮSU uit Amsterdam toont zich daarin een behendige operator die haar hypnotiserende ritmes en tribale grooves vooral oogst in Afrika, maar die dan verknoopt met westerse soul, jazz, funk en R&amp;amp;B. Dat doet ze van Dubai tot Dakar en van Brussel tot Accra, waar ze tevens een saluut brengt aan haar Ghanese roots.</t>
  </si>
  <si>
    <t>In The Bizarre, the world knows no boundaries. One DJ after another takes you on a virtual journey of discovery across countries and continents, searching for the unifying dance factor. YŮSU from Amsterdam also proves to be a skilled operator in this, harvesting her hypnotic rhythms and tribal grooves primarily from Africa, but intertwining them with Western soul, jazz, funk, and R&amp;B. She does this from Dubai to Dakar and from Brussels to Accra, where she also pays tribute to her Ghanaian roots.</t>
  </si>
  <si>
    <t>Yuval Avital snapt dat een dj het perfecte huwelijk moet vinden tussen hard en zacht. Aan de decks brengt deze Arnhemse trots daarom een combinatie van schurende housebangers en extatische disco die barst van de euforische vocalen. Door het vuige undergroundsausje over de soulvolle, funky grooves brengen haar sets je terug naar de bron: de historische warehouse-raves in Chicago. Haar neus voor échte house bracht ook Yuval Avital naar vele bijzondere oorden: met Arnhem als springplank stond ze onder andere al in Panama en Colombia achter de CDJ’s.</t>
  </si>
  <si>
    <t>Samba’s Rhythm, Rio’s Soul.</t>
  </si>
  <si>
    <t>Of je nu een stijve hark of een ballroomballer bent, sambaspecialist Fabritio Mossel leert je in 30 minuten de populairste dans van Brazilië. De gepassioneerde Zomercarnavalkoning 2022 laat je dagelijks in The Bizarre zijn flitsendste voetenwerk zien, inclusief de moves die Mossel oppikte in het absolute sambawalhalla: het carnaval van Rio de Janeiro. Zo dans je tijdens deze miniworkshop in een mum van tijd de basispassen van de samba, die je vervolgens het hele weekend in The Bizarre en exotische omstreken uit je heupen kunt toveren. Soepel!</t>
  </si>
  <si>
    <t>[using festival bio due to a lack of publicly available data] Why think in boxes when you can blend everything that sounds good together? That’s how Camille Maria approaches it, spinning the most diverse styles on the turntables, as long as it grooves and grates. This record collector might interrupt a gritty techno track with delightfully scruffy gangster rap, which then flows seamlessly into obscure drum 'n' bass. The co-curator of SOW and Dusty Cabinets claims to be too weird for the clubbers and too clubby for the weirdos. Secretly, the opposite is true: this is the golden middle ground between hard-hitting bangers and danceable obscurities.</t>
  </si>
  <si>
    <t>Waarom in hokjes denken als je alles dat lekker klinkt aan elkaar kunt draaien? Dat is hoe Camille Maria denkt, die de meest uiteenlopende stijlen op de draaitafels legt, als het maar groovet en schuurt. Zo kan deze platenverzamelaar een vuige technoplaat onderbreken met heerlijk slonzige gangsterrap die daarna opgaat in obscure drum-‘n-bass. De cocurator van SOW en Dusty Cabinets claimt te weird te zijn voor de clubbers en te clubby voor de weirdos. Stiekem is het tegenovergestelde waar: dit is de gulden middenweg tussen knalharde bangers en dansbare obscuriteiten.</t>
  </si>
  <si>
    <t>Why think in boxes when you can blend everything that sounds good together? That’s how Camille Maria approaches it, spinning the most diverse styles on the turntables, as long as it grooves and grates. This record collector might interrupt a gritty techno track with delightfully scruffy gangster rap, which then flows seamlessly into obscure drum 'n' bass. The co-curator of SOW and Dusty Cabinets claims to be too weird for the clubbers and too clubby for the weirdos. Secretly, the opposite is true: this is the golden middle ground between hard-hitting bangers and danceable obscurities.</t>
  </si>
  <si>
    <t>Wat Farida Amadou allemaal uit haar elektrische basgitaar krijgt, gaat je stoutste verwachtingen te boven. Haar geïmproviseerde soundkunst roept onmetelijke klankwerelden op waarin je je compleet kunt verliezen: ergens in het niemandsland tussen freejazz en noise, powered by organische ritmes en dronende, feedbackende effectpedalen. De Belgische geluidskunstenaar leerde zichzelf spelen en ging daarbij meteen compromisloos in de overdrive. Ga dat horen: Amadou presenteert op RADIATE VI haar solowerk ‘Darwinian 1.0’, een vrije improvisatie van texturen rond West-Afrikaanse ritmes en sounds, waarin ze radicaal en resoluut haar sonische intuïtie volgt.</t>
  </si>
  <si>
    <t>What Farida Amadou conjures from her electric bass guitar exceeds your wildest expectations. Her improvised sound art evokes boundless sonic worlds in which you can completely lose yourself: somewhere in the no man's land between free jazz and noise, powered by organic rhythms and droning, feedback-laden effect pedals. The Belgian sound artist taught herself to play and immediately dove headfirst into uncompromising overdrive. Don’t miss it: Amadou presents her solo work ‘Darwinian 1.0’ at RADIATE VI, a free improvisation of textures inspired by West African rhythms and sounds, where she radically and resolutely follows her sonic intuition.</t>
  </si>
  <si>
    <t>Gizem Öz</t>
  </si>
  <si>
    <t>[using festival bio due to a lack of publicly available data] The installations and soundscapes of composer/artist Gizem Öz – also appearing this weekend as a DJ/producer at REX – give your senses plenty to ponder; sometimes with hypnotic meditative sounds, other times with meticulously collected field recordings of humans and nature. In her multisensory works, Öz finely hones your body and mind with virtuously composed experiences that turn your perception of life and reality upside down. Tones transform into textures, sounds flow into scents, below becomes above. At RADIATE VI in the idyllic forest, of course, where else?</t>
  </si>
  <si>
    <t>De installaties en soundscapes van componist/kunstenaar Gizem Öz – dit weekend te zien ook als dj/producer in REX – geven je zintuigen stof tot nadenken; soms met hypnotiserende meditatieve klanken, dan weer met eigenhandig verzamelde field recordings van mens en natuur. In haar multizintuigelijke werken zet Öz je body en mind fijnzinnig op scherp met virtuoos gecomponeerde experiences, die je perceptie van het leven en de realiteit op zijn kop zetten. Tonen veranderen in texturen, geluiden vloeien over in geuren, onder wordt boven. Op RADIATE VI in het Idyllische Bos natuurlijk, waar anders?</t>
  </si>
  <si>
    <t>The installations and soundscapes of composer/artist Gizem Öz – also appearing this weekend as a DJ/producer at REX – give your senses plenty to ponder; sometimes with hypnotic meditative sounds, other times with meticulously collected field recordings of humans and nature. In her multisensory works, Öz finely hones your body and mind with virtuously composed experiences that turn your perception of life and reality upside down. Tones transform into textures, sounds flow into scents, below becomes above. At RADIATE VI in the idyllic forest, of course, where else?</t>
  </si>
  <si>
    <t>[using festival bio due to a lack of publicly available data] The young record label Glinted Records champions experimental music – which happens to be the core business of RADIATE VI. Label boss Nessim will personally take the stage this weekend at the forest podium with his signature blend of forward-thinking ambient, breaks, and bass, which can also frequently be heard on Echobox Radio. Also present is Glinted’s own GATELESS, the Amsterdam-based American who revives the experimental spirit of overlooked subcultures like computer music, ambient, trip-hop, and dub techno using modern equipment.</t>
  </si>
  <si>
    <t>Het jonge platenlabel glinted records hijst experimentele muziek op het schild – en laat dat nou net de core business van RADIATE VI zijn. Labelbaas Nessim geeft dit weekend hoogstpersoonlijk acte de présence op het bospodium met zijn typische blend van vooruitdenkende ambient, breaks en bass, die ook regelmatig op Echobox Radio te horen is. Daarnaast van de partij is glinted’s own GATELESS, de Amsterdam-based Amerikaan die de experimenteerdrift van ondergesneeuwde subculturen als computer music, ambient, triphop en dubtechno met moderne apparatuur weer tot leven wekt.</t>
  </si>
  <si>
    <t>The young record label Glinted Records champions experimental music – which happens to be the core business of RADIATE VI. Label boss Nessim will personally take the stage this weekend at the forest podium with his signature blend of forward-thinking ambient, breaks, and bass, which can also frequently be heard on Echobox Radio. Also present is Glinted’s own GATELESS, the Amsterdam-based American who revives the experimental spirit of overlooked subcultures like computer music, ambient, trip-hop, and dub techno using modern equipment.</t>
  </si>
  <si>
    <t>[using festival bio due to a lack of publicly available data] Hyperpop is more than just explosive, bubblegum-pink digital chaos. Helen Island weaves elements of the trendy genre into more stripped-down songs that captivate with their apparent simplicity. This intimate yet hallucinatory pop drifts through styles, much like its enigmatic creator Léopold Collin shifts personas. The Helen Island project represents a haunting blend of neo-ambient, shoegaze, and lo-fi electronica, with emotional tracks that cast the more depressing aspects of the always-online era in an alienating light.
Image by: Guillaume Ageron</t>
  </si>
  <si>
    <t>Hyperpop is meer dan alleen maar knalharde en kauwgomroze digitale chaos. Zo verweeft Helen Island elementen van het hippe genre in meer uitgeklede songs die betoveren in hun schijnbare eenvoud. Deze even intieme als hallucinante pop zweeft door stijlen, zoals diens mysterieuze maker Léopold Collin van gedaantes wisselt. Het Helen Island-project staat voor een spookachtige combinatie van neo-ambient, shoegaze en lofi electronica, met emotionele tracks die de meer deprimerende aspecten van het altijd-onlinetijdperk in een vervreemdend daglicht zetten.
Beeld door: Guillaume Ageron</t>
  </si>
  <si>
    <t>Hyperpop is more than just explosive, bubblegum-pink digital chaos. Helen Island weaves elements of the trendy genre into more stripped-down songs that captivate with their apparent simplicity. This intimate yet hallucinatory pop drifts through styles, much like its enigmatic creator Léopold Collin shifts personas. The Helen Island project represents a haunting blend of neo-ambient, shoegaze, and lo-fi electronica, with emotional tracks that cast the more depressing aspects of the always-online era in an alienating light.
Image by: Guillaume Ageron</t>
  </si>
  <si>
    <t>[using festival bio due to a lack of publicly available data] The multidisciplinary artist Jacob Dwyer captures the world around him in words, images, and sound. That world knows few boundaries, much like his expansive choice of subjects. For thought-provoking projects such as "One Thousand Dead Beetles" and "The Devil’s Museum," the British storyteller personally gathers recordings from the most diverse locations, ranging from Lithuania to New Orleans and Amsterdam's Kleine Wittenburgerstraat. These one-of-a-kind field recordings form a crucial part of his ambient soundscapes, which find their perfect place at RADIATE VI in Het Bos.</t>
  </si>
  <si>
    <t>De multidisciplinaire kunstenaar Jacob Dwyer vangt de wereld om hem heen in woorden, beelden en geluid. Die wereld kent weinig grenzen, net als zijn hemelsbrede onderwerpkeuze. Voor prikkelende projecten als ‘One Thousand Dead Beetles’ en ‘The Devil’s Museum’ gaat de Britse verhalenverteller namelijk zelf opnames halen op de meest uiteenlopende bestemmingen; van Litouwen tot New Orleans en de Amsterdamse Kleine Wittenburgerstraat. Die one-of-a-kind field recordings zijn een belangrijk deel van zijn ambient soundscapes, die op RADIATE VI in het Bos precies op hun plek vallen.</t>
  </si>
  <si>
    <t>The multidisciplinary artist Jacob Dwyer captures the world around him in words, images, and sound. That world knows few boundaries, much like his expansive choice of subjects. For thought-provoking projects such as "One Thousand Dead Beetles" and "The Devil’s Museum," the British storyteller personally gathers recordings from the most diverse locations, ranging from Lithuania to New Orleans and Amsterdam's Kleine Wittenburgerstraat. These one-of-a-kind field recordings form a crucial part of his ambient soundscapes, which find their perfect place at RADIATE VI in Het Bos.</t>
  </si>
  <si>
    <t>[using festival bio due to a lack of publicly available data] The self-titled debut album by La Rat immediately made it onto the official year-end list of the best hip-hop on the indie streamer Bandcamp in 2025 — where the Dutch duo proudly stood shoulder to shoulder with heavyweights like Aesop Rock and Ho99o9. This compact album offers plenty for fans of experimental hip-hop to love; the razor-sharp, ethereally twisted lyrics of MC Goya van der Heijden kick ass over DJ/producer Tobias Jansen's scratchy boom-bap beats and samples sourced from every corner of the record fair. Not to be underestimated.</t>
  </si>
  <si>
    <t>De titelloze debuutplaat van La Rat wist het in 2025 meteen tot de officiële eindejaarslijst van de beste hiphop op de indiestreamer Bandcamp te schoppen - waar het Nederlandse duo fier schouder aan schouder stond met bovenbazen als Aesop Rock en Ho99o9. Op dat compacte album staat voor liefhebbers van experimentele hiphop dan ook veel om van te houden; de messcherpe, ijl verwrongen lyrics van mc Goya van der Heijden kicken ass op dj/producer Tobias Jansens scratchy boombapbeats en samples uit alle windstreken van de platenbeurs. Niet voor de poes.</t>
  </si>
  <si>
    <t>The self-titled debut album by La Rat immediately made it onto the official year-end list of the best hip-hop on the indie streamer Bandcamp in 2025 — where the Dutch duo proudly stood shoulder to shoulder with heavyweights like Aesop Rock and Ho99o9. This compact album offers plenty for fans of experimental hip-hop to love; the razor-sharp, ethereally twisted lyrics of MC Goya van der Heijden kick ass over DJ/producer Tobias Jansen's scratchy boom-bap beats and samples sourced from every corner of the record fair. Not to be underestimated.</t>
  </si>
  <si>
    <t>[using festival bio due to a lack of publicly available data] With her background at scene icons Rush Hour Records and Eindhoven's Stroomhuis, Margie knows exactly how to throw a party. But that's far from all— as a writer and community builder, she’s always on the hunt for groundbreaking sounds that celebrate creative diversity. These not only find their way onto her turntable but are also given a platform whenever possible through her pop-up project LOCH INN, which regularly appears in clubs and on Echobox Radio. Groundbreaking, creatively diverse, check and double-check: welcome to RADIATE VI, Margie.</t>
  </si>
  <si>
    <t>With her background at scene icons Rush Hour Records and Eindhoven's Stroomhuis, Margie knows exactly how to throw a party. But that's far from all— as a writer and community builder, she’s always on the hunt for groundbreaking sounds that celebrate creative diversity. These not only find their way onto her turntable but are also given a platform whenever possible through her pop-up project LOCH INN, which regularly appears in clubs and on Echobox Radio. Groundbreaking, creatively diverse, check and double-check: welcome to RADIATE VI, Margie.</t>
  </si>
  <si>
    <t>Wisselwerking is alles. Zo vormen dreampop, new age, clubtunes en ambient de fundamenten van de platen van Merely. Daarin bepalen haar etherische stem en poetische teksten een groot deel van de sfeer van haar producties, die zowel mystiek als zonnig te noemen zijn. De beste voorbeelden daarvan hoor je op soloalbum ‘Sculpture’ en ‘Essential Mixtape’, een beeldschone ambientcollab met hartsvriendin Malibu, die ze tijdens een roadtrip door Zweden opnamen. En over synergie gesproken: tijdens haar shows voorziet Merely uitgeklede clubedits uit eigen keuken live van vocals.
Beeld door: Philip Svensson</t>
  </si>
  <si>
    <t>We associëren ambient vaak met muzikaal behang: onopdringerige klanken om bij weg te dromen. NEXCYIA ziet dat anders. Zijn ambient lijkt eerder op modernistische beeldhouwwerken: prachtige sonische sculpturen met ruwe materialen en vreemde texturen. De Amerikaan boetseert muzikale werelden die het spanningsveld tussen schoonheid en onbehagen opzoekt. Zo is het album ‘Endless Path of Memory’ opgebouwd uit beweeglijke tracks die troosten, maar ook onder je huid sluipen. Heerlijk desoriënterende muziek dus, die op RADIATE VI uitnodigt om te verdwalen en nog dieper weg te dromen.</t>
  </si>
  <si>
    <t>Het gewicht van de zware bassen in de sets van ojoo heeft politieke dimensies die ook buiten de dansvloer resoneren. Zo staat de in Marokko geboren dj en curator vanuit Brussel aan de wieg van intersectioneel feministisch collectief Psst, dat deuren opent voor gemarginaliseerde groepen om meer kracht in clubmuziek te stoppen. Met een punky en rebelse energie zet deze muzikant dus druk op de industrie én de dansvloer, wat hen doet met rauwe blends, hoekige ritmes en flink wat sonische barrage, met meer verstilde momenten die het nodige tegenwicht geven.
Beeld door: Maryan Sayd</t>
  </si>
  <si>
    <t>This local legend from Amsterdam has chosen a fitting stage name, as behind the decks, Orpheu The Wizard conjures up the most fantastic sets. The eclectic DJ was a co-founder of Red Light Radio and a key figure within the Dekmantel network. His magical sets are bursting with musical influences that blend together in extraordinary ways: quirky electro, boundary-pushing techno, obscure house, and mysterious ambient all form part of his musical universe. After a set from this wizard, you’ll undoubtedly be left with a list of obscure tracks begging for a Track ID.</t>
  </si>
  <si>
    <t>For the producer, songwriter, and singer Rainy Miller from Preston, drill serves as an expressive canvas for deeply personal music. At times, his simmering blend of pop, ambient, rap, and pounding sub-bass is overwhelmingly intense, but through this musical turbulence, the artist wrestles with his inner demons in the most intimate way. Rainy Miller's voice, often distorted by AutoTune, resembles a lament—one through which Miller delivers urgent commentary on a bleak existence in the gritty north of England.  
Image by: Jack Bowes</t>
  </si>
  <si>
    <t>[using festival bio due to a lack of publicly available data] This Dutch producer/DJ and the creative mind behind RADIATE II through VI has a forward-thinking vision for the global club scene. Based in The Hague, Torus creates innovative electronic music at the intersection of ambient, techno, trance, and more experimental styles. For the brain behind Laser Club and Laak, the club is an artistic total experience, a playground for conceptual artworks you can rave to with full intensity – though his most recent album, *Summer of Love* (2025), is a nostalgic ambient record. Torus can be seen twice this weekend at RADIATE VI, where, as always, he will handle both the opening and closing ceremonies.</t>
  </si>
  <si>
    <t>Deze Nederlandse producer/dj en geestelijk vader van RADIATE II t/m VI heeft een toekomstvisie voor de globale clubscene. Vanuit Den Haag maakt Torus vernieuwingsgezinde elektronische muziek op het snijvlak van ambient, techno, trance en meer experimentele stijlen. Voor het brein achter Laser Club en Laak is de club een artistieke totaalbeleving, een speeltuin voor conceptuele kunstwerkjes waar je keihard op kan raven – al is zijn meest recente album ‘Summer of Love’ (2025) juist weer een nostalgische ambientplaat. Torus is dit weekend twee keer te bewonderen op RADIATE VI, waar hij zoals altijd de openings- en sluitingsceremonie verzorgt.</t>
  </si>
  <si>
    <t>This Dutch producer/DJ and the creative mind behind RADIATE II through VI has a forward-thinking vision for the global club scene. Based in The Hague, Torus creates innovative electronic music at the intersection of ambient, techno, trance, and more experimental styles. For the brain behind Laser Club and Laak, the club is an artistic total experience, a playground for conceptual artworks you can rave to with full intensity – though his most recent album, *Summer of Love* (2025), is a nostalgic ambient record. Torus can be seen twice this weekend at RADIATE VI, where, as always, he will handle both the opening and closing ceremonies.</t>
  </si>
  <si>
    <t>[using festival bio due to a lack of publicly available data] By Alec Mateo featuring Soraya Lutangu Bonaventure, and S*an D. Henry-Smith  
Words connect, comfort, and can provide strength and essential grounding in turbulent times. ‘Joleidy’s Reprieve’ is a new project by Alec Mateo under the banner of Voice as Landscape, the forward-thinking performance platform with a deep love for language, which gives voices a stage—and vice versa. For this project, the American co-founder and artist invited theater maker Soraya Lutangu Bonaventure and poet/photographer S*an D. Henry-Smith, two like-minded experimental spirits who had previously collaborated with Voice as Landscape during the two-day project ‘Borrowing a Distant Hill.’</t>
  </si>
  <si>
    <t>&amp;nbsp;By Alec Mateo featuring Soraya Lutangu Bonaventure, and S*an D. Henry-Smith
Woorden verbinden, troosten en kunnen je in roerige tijden kracht en essentiële houvast geven. ‘Joleidy’s Reprieve’ is een nieuw project van Alec Mateo onder de vlag van Voice as Landscape, het vooruitstrevende performanceplatform met een diepe liefde voor taal, dat stemmen een podium geeft – en andersom. De Amerikaanse mede-oprichter en kunstenaar nodigde daarvoor theatermaker Soraya Lutangu Bonaventure en dichter/fotograaf S*an D. Henry-Smith uit, twee gelijkgestemde experimentele geesten die tijdens het tweedaagse project ‘Borrowing a Distant Hill’ al eerder met Voice as Landscape samenwerkten.</t>
  </si>
  <si>
    <t>By Alec Mateo featuring Soraya Lutangu Bonaventure, and S*an D. Henry-Smith  
Words connect, comfort, and can provide strength and essential grounding in turbulent times. ‘Joleidy’s Reprieve’ is a new project by Alec Mateo under the banner of Voice as Landscape, the forward-thinking performance platform with a deep love for language, which gives voices a stage—and vice versa. For this project, the American co-founder and artist invited theater maker Soraya Lutangu Bonaventure and poet/photographer S*an D. Henry-Smith, two like-minded experimental spirits who had previously collaborated with Voice as Landscape during the two-day project ‘Borrowing a Distant Hill.’</t>
  </si>
  <si>
    <t>[using festival bio due to a lack of publicly available data] Rotterdam and Manchester have a new city connection: BOMBSTRAP. These troublemakers adhere to two truths. 1. There's plenty wrong with society, and 2. Nothing beats playing live. The first is expertly shredded into hellish vocals, driven at breakneck speed by deafening guitar and drum violence. The second is captured on their debut album ‘LIVE AT WORM,’ crafted as it should be in DIY hardcore punk circles: flyering the venue, plugging in, and hitting record. Medium or well done? No, BOMBSTRAP devours the stage raw and spits out a furious mosh pit. Burp.</t>
  </si>
  <si>
    <t>Rotterdam en Manchester hebben een nieuwe stedenband: BOMBSTRAP. Deze raddraaiers hangen twee waarheden aan. 1. Aan de maatschappij mankeert (van) alles en 2. Er gaat niets boven live spelen. Het eerste wordt vakkundig verhakseld in helse vocalen, in noodtempo voortgedreven door oorverdovend gitaar- en drumgeweld. Het tweede is vastgelegd op albumdebuut ‘LIVE AT WORM’, vormgegeven zoals het hoort in DIY hardcore punkkringen: zaal volflyeren, inpluggen en tapen maar. Medium of well done? Nee, BOMBSTRAP vreet het podium rauw en spuugt een furieuze moshpit uit. Burp.</t>
  </si>
  <si>
    <t>Rotterdam and Manchester have a new city connection: BOMBSTRAP. These troublemakers adhere to two truths. 1. There's plenty wrong with society, and 2. Nothing beats playing live. The first is expertly shredded into hellish vocals, driven at breakneck speed by deafening guitar and drum violence. The second is captured on their debut album ‘LIVE AT WORM,’ crafted as it should be in DIY hardcore punk circles: flyering the venue, plugging in, and hitting record. Medium or well done? No, BOMBSTRAP devours the stage raw and spits out a furious mosh pit. Burp.</t>
  </si>
  <si>
    <t>[using festival bio due to a lack of publicly available data] "‘Ich Bin Wasmachin,’ ‘Killversum Mediarat,’ ‘Mama I Want to Become an Accountant’; it’s a wild selection from the punk arsenal of CLITTEBAND, which overcomes small and large annoyances by fusing furious guitar chords with absurdist humor. From Girls to the Front events and the Popronde to the sacred grounds of Paradiso, the foundations tremble everywhere under this untamed Gooise riot grrrl sound, which undoubtedly cranks up the heat in HOLDING to code bright red. After all, it’s so much better to sweat out your anger with joy.
Image by: Sabrine Baakman"</t>
  </si>
  <si>
    <t>‘Ich Bin Wasmachin’, ‘Killversum Mediarat’, ‘Mama Ik Wil Accountant Worden’; het is een wilde greep uit het punkarsenaal van CLITTEBAND, dat kleine en grote ergernissen te bovenkomt door woedende gitaarakkoorden aan absurdistische humor te plakken. Van Girls to the Front-events en de Popronde tot de heilige grond van Paradiso, overal siddert de fundering onder deze ongetemde Gooise riot grrrl-sound, die de temperaturen in HOLDING geheid richting code knalrood rockt. Het is namelijk zoveel beter om je boosheid er met plezier uit te zweten.
Beeld door: Sabrine Baakman</t>
  </si>
  <si>
    <t>"‘Ich Bin Wasmachin,’ ‘Killversum Mediarat,’ ‘Mama I Want to Become an Accountant’; it’s a wild selection from the punk arsenal of CLITTEBAND, which overcomes small and large annoyances by fusing furious guitar chords with absurdist humor. From Girls to the Front events and the Popronde to the sacred grounds of Paradiso, the foundations tremble everywhere under this untamed Gooise riot grrrl sound, which undoubtedly cranks up the heat in HOLDING to code bright red. After all, it’s so much better to sweat out your anger with joy.
Image by: Sabrine Baakman"</t>
  </si>
  <si>
    <t>[using festival bio due to a lack of publicly available data] The Nijmegen-based FEMME FUGAZI wrapped up the Popronde with a long list of bookings, after which their manic hunger for the stage turned to festivals both at home and abroad, prestigious support slots for Model/Actriz and Claw Boys Claw, and their acclaimed debut EP ‘Look At You’. Frontwoman Chris possesses exactly the right, fierce voice for sharp guitar-driven songs, shifting from atmospheric and ominous to straight-up rocking. The workshop where this tight post-punk sound is crafted lies somewhere along the dangerous garage rock highway, between the mile markers of IDLES and Amyl and the Sniffers.</t>
  </si>
  <si>
    <t>Het Nijmeegse FEMME FUGAZI werkte de Popronde af met een waslijst aan boekingen, waarna de manische podiumhonger zich richtte op festivals in binnen- en buitenland, eervolle supportstekken voor Model/Actriz en Claw Boys Claw en het geroemde ep-debuut ‘Look At You’. Frontfemme Chris bezit precies de juiste, felle strot voor puntige gitaarsongs, van atmosferisch en onheilspellend naar rap rechtdoor rockend. De werkplaats waar dit strakke postpunkgeluid in elkaar wordt geschroefd, bevindt zich ergens langs de gevaarlijke garagerocksnelweg, tussen hectometerpaaltjes IDLES en Amyl and the Sniffers.&amp;nbsp;</t>
  </si>
  <si>
    <t>The Nijmegen-based FEMME FUGAZI wrapped up the Popronde with a long list of bookings, after which their manic hunger for the stage turned to festivals both at home and abroad, prestigious support slots for Model/Actriz and Claw Boys Claw, and their acclaimed debut EP ‘Look At You’. Frontwoman Chris possesses exactly the right, fierce voice for sharp guitar-driven songs, shifting from atmospheric and ominous to straight-up rocking. The workshop where this tight post-punk sound is crafted lies somewhere along the dangerous garage rock highway, between the mile markers of IDLES and Amyl and the Sniffers.</t>
  </si>
  <si>
    <t>[using festival bio due to a lack of publicly available data] Remember Aux Raus? Love Peaches? Then you can head straight to Hondenfokker. This rave-punk trio from Amsterdam declares a colorful, fashionable, and above all, festive war on clichés, stereotypes, and other dullness, mercilessly crashing your cultural hard drive. With these underground heroes, you’ll inevitably land in a completely different dimension where unleashed beats, screaming guitar riffs, and insane vocals reign supreme. And you get to be yourself—just the craziest version of it. Playing it normal can always come later.</t>
  </si>
  <si>
    <t>Ken je Aux Raus nog? Hou je van Peaches? Dan kun je in een rechte lijn door naar Hondenfokker. Het ravepunktrio uit Amsterdam verklaart een kleurrijke, modieuze en vooral feestelijke oorlog aan clichés, hokjes en andere truttigheid en laat je culturele harde schijf meedogenloos crashen. Met deze undergroundhelden beland je onherroepelijk in een totaal andere dimensie waar losgeslagen beats, krijsende gitaarriffs en krankzinnige vocalen de dienst uitmaken. En jij lekker jezelf bent, maar dan wel de mafste versie daarvan. Normaal doen kan altijd nog.</t>
  </si>
  <si>
    <t>Remember Aux Raus? Love Peaches? Then you can head straight to Hondenfokker. This rave-punk trio from Amsterdam declares a colorful, fashionable, and above all, festive war on clichés, stereotypes, and other dullness, mercilessly crashing your cultural hard drive. With these underground heroes, you’ll inevitably land in a completely different dimension where unleashed beats, screaming guitar riffs, and insane vocals reign supreme. And you get to be yourself—just the craziest version of it. Playing it normal can always come later.</t>
  </si>
  <si>
    <t>Dat hun band na een backlineverwoestende oefenruimtebrand vervloekt zou zijn, blijkt niet uit het palmares van deze Amsterdammers, waarop intussen het prestigieuze showcasefestival SXSW en diverse Europese tours prijken. Met leden van WIES en Marathon heb je natuurlijk allerminst met koekenbakkers te maken. Hoor op oersterke singles als ‘Insecure’ en ‘Pretty’ die opeengestapelde lagen fuzzy shoegaze eens contrasteren met loepzuivere, Pixies/Smashing Pumpkins-achtige zang. Wie ook maar een beetje liefde voor de nineties heeft, juicht straks in HOLDING met een lijf vol kippenvel: Honey I'm Home!
Beeld door: Hannah Bruynzeel</t>
  </si>
  <si>
    <t>Seoul’s sonic chaos, unleashed globally.</t>
  </si>
  <si>
    <t>[using festival bio due to a lack of publicly available data] Are your eyes getting heavy already? No worries: with a supersonic cocktail of breakbeats, techno, punk, hip-hop, and absurdism, HYPNOSIS THERAPY jolts you wide awake in one go. Call it a shocktail, because there you are, right in the middle of a swirling HOLDING, while rapper JJANGYOU and producer Jflow compete to pound your eardrums, unleashing the raw energy of Seoul's underground scene straight into your core—cutting right through the language barrier, as this duo collaborates with artists and producers from Berlin to Kampala.</t>
  </si>
  <si>
    <t>Worden je ogen nu al zwaar? No worries: met een supersonische cocktail van breakbeats, techno, punk, hiphop en absurdisme klapt HYPNOSIS THERAPY je in één keer klaarwakker. Zeg maar gerust shocktail, want daar sta je dan, midden in een kolkende HOLDING, terwijl rapper JJANGYOU en producer Jflow om het hardst op je trommelvliezen jumpen en de rauwe energie van de Seoulse underground volle bak bij je binnendendert – dwars door de taalbarrière, want dit duo werkt met artiesten en producers van Berlijn tot Kampala.</t>
  </si>
  <si>
    <t>Are your eyes getting heavy already? No worries: with a supersonic cocktail of breakbeats, techno, punk, hip-hop, and absurdism, HYPNOSIS THERAPY jolts you wide awake in one go. Call it a shocktail, because there you are, right in the middle of a swirling HOLDING, while rapper JJANGYOU and producer Jflow compete to pound your eardrums, unleashing the raw energy of Seoul's underground scene straight into your core—cutting right through the language barrier, as this duo collaborates with artists and producers from Berlin to Kampala.</t>
  </si>
  <si>
    <t>[using festival bio due to a lack of publicly available data] His widely acclaimed album ‘Negropont’ paints a dystopian picture of the relationship between Curaçao and the Netherlands. There’s still room for improvement there, to put it mildly. But the razor-sharp statements on colonialism and capitalism also make way for vitality: the track ‘Moed’ lives up to its title with a hopeful chorus. Effortlessly, this passionate cultural omnivore unleashes his defiant flow over a beat blend of modern hip-hop and Antillean influences, with Papiamentu as the main language. The cheerful result: swinging, steamy dance floor scenes. Juny Martina, mas ku un rapper!</t>
  </si>
  <si>
    <t>Zijn alom getipte album ‘Negropont’ schetst een dystopisch beeld van de relatie tussen Curaçao en Nederland. Daar is nog wat ruimte voor verbetering, zacht uitgedrukt. Maar de vlijmscherpe statements over kolonialisme en kapitalisme wisselen ook stuivertje met levenslust: de track ‘Moed’ dekt de titellading met een hoopvol refrein. Moeiteloos laat deze bevlogen culturele omnivoor zijn tegendraadse flow los op een beatblend van moderne hiphop en Antilliaanse invloeden, met Papiaments als voertaal. Het vrolijke resultaat: swingende, stomende dansvloertaferelen. Juny Martina, mas ku un rapper!&amp;nbsp;</t>
  </si>
  <si>
    <t>His widely acclaimed album ‘Negropont’ paints a dystopian picture of the relationship between Curaçao and the Netherlands. There’s still room for improvement there, to put it mildly. But the razor-sharp statements on colonialism and capitalism also make way for vitality: the track ‘Moed’ lives up to its title with a hopeful chorus. Effortlessly, this passionate cultural omnivore unleashes his defiant flow over a beat blend of modern hip-hop and Antillean influences, with Papiamentu as the main language. The cheerful result: swinging, steamy dance floor scenes. Juny Martina, mas ku un rapper!</t>
  </si>
  <si>
    <t>[using festival bio due to a lack of publicly available data] Young people massively identified with the anthem "Stop Met Wenen," a protest against emotional numbness. And after releasing the EP "Vieze Vlinder," HUMO and other cultural authorities couldn’t stop raving about this striking comet in the already bustling Flemish music universe: a never-before-seen combination of punk rock riffs, powerful beats, and biting, venomous spoken word. The feminist power of Fiona Apple, the hard-soft dynamics of Wet Leg, the witty humor and imagination of Spinvis; live, Kaat and her band fully live up to her last name.
Image by: Moenia Ladhib</t>
  </si>
  <si>
    <t>Jongeren herkenden zich massaal in anthem ‘Stop Met Wenen’, een aanklacht tegen de emotieloosheid. En na het uitbrengen van ep ‘Vieze Vlinder’ raken HUMO en andere kenniscentra maar niet uitgejubeld over deze opvallende komeet in het toch al zo druk bevlogen Vlaamse muziekheelal: een nooit eerder vertoonde combi van punkrockriffs, straffe beats en venijnige, vileine spoken word. De feministische power van Fiona Apple, de hard-zachtdynamiek van Wet Leg, de geestige humor en fantasie van Spinvis; live doen Kaat en band haar achternaam volop eer aan.
Beeld door: Moenia Ladhib</t>
  </si>
  <si>
    <t>Young people massively identified with the anthem "Stop Met Wenen," a protest against emotional numbness. And after releasing the EP "Vieze Vlinder," HUMO and other cultural authorities couldn’t stop raving about this striking comet in the already bustling Flemish music universe: a never-before-seen combination of punk rock riffs, powerful beats, and biting, venomous spoken word. The feminist power of Fiona Apple, the hard-soft dynamics of Wet Leg, the witty humor and imagination of Spinvis; live, Kaat and her band fully live up to her last name.
Image by: Moenia Ladhib</t>
  </si>
  <si>
    <t>Als de Soedanese activiste, model en muzikante MAHA érgens op haar plek is, dan is het in HOLDING. Onderdrukking, discriminatie en hebzucht zijn kansloos in haar songs, die veelal op de uptempo brommer zijn, liters aan postpunkbenzine slurpend. Giet je datzelfde goedje over een oplaaiend protestvlammetje, dan weet je wel wat er gebeurt met al die misselijke mensentrekjes. Tijdens de Popronde zag half Nederland al dat het goed was en als support voor sisters-in-crime Pussy Riot haalde MAHA wederom de boel grandioos overhoop, met als universele wijsheid: counting money won't fix your problem.&amp;nbsp;
Beeld door: Jorah Sarah</t>
  </si>
  <si>
    <t>Amsterdam’s Raw Rap Revolution Unleashed</t>
  </si>
  <si>
    <t>[using festival bio due to a lack of publicly available data] Hold up, HOLDING, for a fabulous initiative by producer Strayed Saint. This Rapper Catcher from Mokum recorded three albums packed with unfiltered Amsterdam in-your-face hip-hop with dozens of artists in just one week. After the completely sold-out listening session at Paradiso, it's time for the real deal: a full hour live in downtown Rabbit Hole. Which STARS WILL SHINE EVERYWHERE? We’re not spilling the beans, but Beuningen can brace itself for a mic-blowing spectacle. No TikTok-dancing sales gimmicks or other slick tricks; just pure, real, raw rap, hitting the bullseye.</t>
  </si>
  <si>
    <t>Hold up, HOLDING, voor een fabuleus initiatief van producer Strayed Saint. Deze Rappervanger van Mokum tapete met tientallen artiesten in één week tijd drie albums vol met onversneden Amsterdamse in-je-smoel-hiphop. Na de stijf uitverkochte luistersessie in Paradiso is het tijd voor the real deal, een uur lang live in downtown Rabbit Hole. Welke STERREN OVERAL GAAN STRALEN? Verklappen we niet, maar Beuningen mag zich opmaken voor een mic-blowing spektakel. Geen TikTokdansende verkoopfratsen of andere gladjakkerij; pure, echte, rauwe rap, recht in de bullseye.</t>
  </si>
  <si>
    <t>Hold up, HOLDING, for a fabulous initiative by producer Strayed Saint. This Rapper Catcher from Mokum recorded three albums packed with unfiltered Amsterdam in-your-face hip-hop with dozens of artists in just one week. After the completely sold-out listening session at Paradiso, it's time for the real deal: a full hour live in downtown Rabbit Hole. Which STARS WILL SHINE EVERYWHERE? We’re not spilling the beans, but Beuningen can brace itself for a mic-blowing spectacle. No TikTok-dancing sales gimmicks or other slick tricks; just pure, real, raw rap, hitting the bullseye.</t>
  </si>
  <si>
    <t>Niks VALS ALARM, de samenleving wordt alsmaar lelijker. Maar ieder nadeel heeft zijn voordeel, want hieruit ontstond een bron van frustratie-inspiratie voor dit drietal Haagse herrieschoppers, inclusief leden van Go Back To The Zoo. De band werd geadopteerd door het FLINTA*-punkplatform Girls to the Front en stortte zich met Boaz van Goldband op ‘COUGAR SUGAR’. Ook vermaledijde fatbikes of rode vlaggen als big dick energy gaan eraan, want frontvrouw Yanna Panagopoulos schreeuwt en punksnikt zich er dwars doorheen. Tijd om eens flink huis te houden in moshwalhalla HOLDING!</t>
  </si>
  <si>
    <t>Raging punk beats ‘til sunrise</t>
  </si>
  <si>
    <t>[using festival bio due to a lack of publicly available data] In HOLDING, all signals are set to punk, even at night. Night Train is the raging dance express heading toward sunrise, making stops at every station from punk to happy hardcore. All weekend long, Girls to the Front, Sjaak, and Cristel Ball hold the keys to the most unholy house at Down The Rabbit Hole. Each night, they invite different DJs and artists to take the decks, keeping you moving without delay until 4 a.m. with hard-hitting floor-killers and ball-bangers. All aboard!
**About the hosts:**
The Utrecht-based initiative Girls to the Front is steadily building a thriving FLINTA* community in the Dutch punk scene with interdisciplinary events and kick-ass punk compilations. Their ideal: a world where everyone can mosh freely without worrying about dick energy, big or small. Experience how liberating that can be on Friday during the dedicated Girls to the Front edition of the brand-new night program, Nachtdienst.
On Saturday and Sunday, dive into the night with Sjaak and Cristel Ball. DJ, curator, and jewelry designer Cristel, along with DJ, artist, and programmer Sjaak, are staples of the Amsterdam music and art scene. With this versatile duo, expect two nights full of surprises, including bands behind the decks, unique performances, and DJs spinning their favorite late-night tracks.
During Night Train, ride with these conductors toward the break of dawn:
**Friday – hosted by Girls to the Front**  
23:00 – 00:00 Girls to the Front (DJ set) | @girls.2thefront  
00:00 – 01:00 Bandgurl666 | @bandgurl666  
01:00 – 02:30 Queer In Wonderland | @queerinwonderland  
02:30 – 04:00 Plug &amp; Play | @plugandplay_ams  
**Saturday – hosted by Cristel Ball &amp; Sjaak**  
23:00 – 00:30 DJ Sjaak | @bootlegsjaak  
00:30 – 02:00 Cristel Ball | @cristelball  
02:00 – 03:00 Camy Huot | @camyhuot  
03:00 – 04:00 KABOUTERTJE PUTLUCHT (DJ set) | @kaboutertje_putlucht  
Performance: Angel Spiders | @angelspiderss  
**Sunday – hosted by Cristel Ball &amp; Sjaak**  
23:00 – 00:00 Cristel Ball &amp; DJ Sjaak | @cristelball &amp; @bootlegsjaak  
00:00 – 01:00 SHARP SHIN (DJ) &amp; DRUM SONG (DJ) | @nushinnaini &amp; @anxietyandre  
01:00 – 02:00 Fokkers | @hondenfokker  
02:00 – 03:00 DJ Rocco | @roccojgh  
03:00 – 04:00 Cristel Ball &amp; DJ Sjaak | @cristelball &amp; @bootlegsjaak  
Performance: Angel Spiders | @angelspiderss</t>
  </si>
  <si>
    <t>In HOLDING staan ook ‘s nachts alle seinen op punk. Nachttrein is de razende doordansexpress richting zonsopgang, die zal stoppen op alle tussengelegen stations van punk tot happy hardcore.&amp;nbsp;Het hele weekend hebben Girls to the Front, Sjaak en Cristel Ball de sleutels van het onheiligste huis van Down The Rabbit Hole: hier nodigen ze elke nacht andere dj’s en artiesten aan deck uit, die je zonder vertraging tot vier uur ’s ochtends gaande houden met spijkerharde floorkillers en ballbangers. All aboard!
About the hosts:
Het Utrechtse initiatief Girls to the Front bouwt met interdisciplinaire events en kick-ass punkcompilaties gestaag aan een bloeiende FLINTA*-community in de Nederlandse punkscene.&amp;nbsp;Het ideaal: een wereld waar iedereen in alle vrijheid kan moshen zonder zich zorgen te hoeven maken over dick energy, big &amp;amp; small. Hoe bevrijdend dat kan werken, ontdek je op vrijdag tijdens de dedicated Girls to the Front-editie van het hagelnieuwe nachtprogramma Nachtdienst.
Op zaterdag en zondag tuimel je de nacht in met Sjaak en Cristel Ball. De DJ, curator en sieradenontwerpen Cristel, en DJ, kunstenaar en programmeur Sjaak zijn niet meer weg te denken uit de Amsterdamse muziek- en kunstscene. Verwacht met dit veelzijdige duo twee nachten vol verrassingen met bands achter de draaitafels, bijzondere performances en dj’s die hun favoriete muziek voor de late uren meenemen.
Tijdens Nachttrein dender je met deze machinisten richting ochtendgloren:
Vrijdag – hosted by Girls to the Front
23:00 – 00:00 Girls to the Front (dj-set) | @girls.2thefront
00:00 – 01:00 Bandgurl666 | @bandgurl666
01:00 – 02:30 Queer In Wonderland | @queerinwonderland
02:30 – 04:00 Plug &amp;amp; Play | @plugandplay_ams
Zaterdag – hosted by Cristel Ball &amp;amp; Sjaak
23:00 – 00:30 DJ Sjaak | @bootlegsjaak
00:30 – 02:00 Cristel Ball | @cristelball
02:00 – 03:00 Camy Huot | @camyhuot
03:00 – 04:00 KABOUTERTJE PUTLUCHT (dj-set) | @kaboutertje_putlucht
Performance: Angel Spiders | @angelspiderss
Zondag – hosted by Cristel Ball &amp;amp; Sjaak
23:00 – 00:00 Cristel Ball &amp;amp; DJ Sjaak | @cristelball &amp;amp; @bootlegsjaak
00:00 – 01:00 SHARP SHIN (DJ) &amp;amp; DRUM SONG (DJ) | @nushinnaini &amp;amp; @anxietyandre
01:00 – 02:00 Fokkers | @hondenfokker
02:00 – 03:00 DJ Rocco | @roccojgh
03:00 – 04:00 Cristel Ball &amp;amp; DJ Sjaak | @cristelball &amp;amp; @bootlegsjaak
Perormance: Angel Spiders | @angelspiderss</t>
  </si>
  <si>
    <t xml:space="preserve">In HOLDING, all signals are set to punk, even at night. Night Train is the raging dance express heading toward sunrise, making stops at every station from punk to happy hardcore. All weekend long, Girls to the Front, Sjaak, and Cristel Ball hold the keys to the most unholy house at Down The Rabbit Hole. Each night, they invite different DJs and artists to take the decks, keeping you moving without delay until 4 a.m. with hard-hitting floor-killers and ball-bangers. All aboard!
**About the hosts:**
The Utrecht-based initiative Girls to the Front is steadily building a thriving FLINTA* community in the Dutch punk scene with interdisciplinary events and kick-ass punk compilations. Their ideal: a world where everyone can mosh freely without worrying about dick energy, big or small. Experience how liberating that can be on Friday during the dedicated Girls to the Front edition of the brand-new night program, Nachtdienst.
On Saturday and Sunday, dive into the night with Sjaak and Cristel Ball. DJ, curator, and jewelry designer Cristel, along with DJ, artist, and programmer Sjaak, are staples of the Amsterdam music and art scene. With this versatile duo, expect two nights full of surprises, including bands behind the decks, unique performances, and DJs spinning their favorite late-night tracks.
During Night Train, ride with these conductors toward the break of dawn:
**Friday – hosted by Girls to the Front**  
23:00 – 00:00 Girls to the Front (DJ set) | @girls.2thefront  
00:00 – 01:00 Bandgurl666 | @bandgurl666  
01:00 – 02:30 Queer In Wonderland | @queerinwonderland  
02:30 – 04:00 Plug &amp; Play | @plugandplay_ams  
**Saturday – hosted by Cristel Ball &amp; Sjaak**  
23:00 – 00:30 DJ Sjaak | @bootlegsjaak  
00:30 – 02:00 Cristel Ball | @cristelball  
02:00 – 03:00 Camy Huot | @camyhuot  
03:00 – 04:00 KABOUTERTJE PUTLUCHT (DJ set) | @kaboutertje_putlucht  
Performance: Angel Spiders | @angelspiderss  
**Sunday – hosted by Cristel Ball &amp; Sjaak**  
23:00 – 00:00 Cristel Ball &amp; DJ Sjaak | @cristelball &amp; @bootlegsjaak  
00:00 – 01:00 SHARP SHIN (DJ) &amp; DRUM SONG (DJ) | @nushinnaini &amp; @anxietyandre  
01:00 – 02:00 Fokkers | @hondenfokker  
02:00 – 03:00 DJ Rocco | @roccojgh  
03:00 – 04:00 Cristel Ball &amp; DJ Sjaak | @cristelball &amp; @bootlegsjaak  
Performance: Angel Spiders | @angelspiderss  </t>
  </si>
  <si>
    <t>[using festival bio due to a lack of publicly available data] Calling all FLINTA people! In this hands-on masterclass, you'll learn all about zines—homemade mini-magazines that have played a key role in activism and feminism since the invention of scissors and glue sticks. And for good reason, because with zines, you can make your voice heard without compromise—your voice, your way, uncensored, as loud or soft as you want.
In HOLDING, you'll soon hear all the ins and outs from various feminist collectives, including Girls to the Front. This Utrecht-based initiative is steadily building a thriving FLINTA* community in the Dutch punk scene through interdisciplinary events and kick-ass punk compilations. Their ideal: a world where everyone can mosh freely without worrying about dick energy, big or small. You’ll also experience just how liberating that can be during the dedicated Girls to the Front edition of the brand-new nightlife program Nachttrein.</t>
  </si>
  <si>
    <t>Calling all FLINTA people! Tijdens deze hands-on masterclass kom je alles te weten over zines, zelfgemaakte minimagazines die al sinds de uitvinding van de schaar en lijmstift een sleutelrol spelen in het activisme en feminisme. Niet voor niets, want met zines kun je je zonder pardon laten horen – jouw stem, your way, ongecensureerd, zo hard of zacht als je wilt.
Je hoort straks in HOLDING alle ins &amp;amp; outs van diverse feministische collectieven, waaronder Girls to the Front. Dat Utrechtse initiatief bouwt met interdisciplinaire events en kick-ass punkcompilaties gestaag aan een bloeiende FLINTA*-community in de Nederlandse punkscene. Het ideaal: een wereld waar iedereen in alle vrijheid kan moshen zonder zich zorgen te hoeven maken over dick energy, big &amp;amp; small. Hoe bevrijdend dat kan werken, ontdek je ook tijdens de dedicated Girls to the Front-editie van het hagelnieuwe nachtprogramma Nachttrein.</t>
  </si>
  <si>
    <t>Calling all FLINTA people! In this hands-on masterclass, you'll learn all about zines—homemade mini-magazines that have played a key role in activism and feminism since the invention of scissors and glue sticks. And for good reason, because with zines, you can make your voice heard without compromise—your voice, your way, uncensored, as loud or soft as you want.
In HOLDING, you'll soon hear all the ins and outs from various feminist collectives, including Girls to the Front. This Utrecht-based initiative is steadily building a thriving FLINTA* community in the Dutch punk scene through interdisciplinary events and kick-ass punk compilations. Their ideal: a world where everyone can mosh freely without worrying about dick energy, big or small. You’ll also experience just how liberating that can be during the dedicated Girls to the Front edition of the brand-new nightlife program Nachttrein.</t>
  </si>
  <si>
    <t>[using festival bio due to a lack of publicly available data] Performance artist Khadija El Kharraz Alami and producer Cheb Runner (alias Reda Senhaji) embark on a morning performance in search of stories, rhythms, and movements from a time long before capitalism, exploring countless Moroccan music genres along the way. Not alone, but together with you: ‘AJJIT’ is an invitation to collectively breathe new, ancient energy into our bodies and reflect on the lives that have been lost. Because do we even have time for live music and dance parties when half the world is on fire? And is there still room for something as complex and beautiful as identity? In ‘AJJIT,’ you’ll discover the only right answer – count on it.</t>
  </si>
  <si>
    <t>Performance-artiest Khadija El Kharraz Alami en producer Cheb Runner (alias Reda Senhaji) gaan tijdens deze ochtendperformance op zoek naar verhalen, ritmes en bewegingen uit een tijd ver voor het kapitalisme en komen daarbij langs talloze Marokkaanse muziekgenres. Niet alleen, maar samen met jou: ‘AJJIT’ is een uitnodiging om collectief onze lichamen nieuwe, eeuwenoude energie in te blazen en te reflecteren op de levens die verloren zijn gegaan. Want hebben we wel tijd voor livemuziek en dansfeesten nu de halve wereld in brand staat? En is er dan ook nog ruimte voor zoiets complex en moois als identiteit? In ‘AJJIT’ ontdek je het enige juiste antwoord – reken maar.</t>
  </si>
  <si>
    <t>Performance artist Khadija El Kharraz Alami and producer Cheb Runner (alias Reda Senhaji) embark on a morning performance in search of stories, rhythms, and movements from a time long before capitalism, exploring countless Moroccan music genres along the way. Not alone, but together with you: ‘AJJIT’ is an invitation to collectively breathe new, ancient energy into our bodies and reflect on the lives that have been lost. Because do we even have time for live music and dance parties when half the world is on fire? And is there still room for something as complex and beautiful as identity? In ‘AJJIT,’ you’ll discover the only right answer – count on it.</t>
  </si>
  <si>
    <t>[using festival bio due to a lack of publicly available data] Kromme Stad is an online film archive for thought-provoking fiction and documentary films about power and resistance in cities around the world. You can browse their treasure trove on Instagram, but Kromme Stad also regularly organizes events in cinemas, squats, and other independent cultural oases. Step right in, HOLDING, your own urban arthouse for a morning matinee featuring two short films.  
*‘Tra Fasi’* (2025) delves into the struggles within the alternative punk and rock scene in Suriname, while the docufiction *‘Hotel Mokum’* (2023) introduces you to a collective that squatted Amsterdam’s Hotel Marnix five years ago. Stay seated when the lights come on, because afterward, filmmakers Charity Charly and Yannesh Meijman will share everything about their films during a Q&amp;A session. Action!</t>
  </si>
  <si>
    <t>Kromme Stad is een online filmarchief voor spraakmakende fictie- en documentairefilms over macht en verzet in steden overal ter wereld. Grasduinen in hun schatkist kan gewoon via Instagram, maar Kromme Stad organiseert ook regelmatig events in filmhuizen, kraakpanden en andere onafhankelijke cultuuroases. Kom er maar in, HOLDING, je eigen urban arthouse voor een ochtendmatinee met twee korte films.&amp;nbsp;
‘Tra Fasi’ (2025) gaat over de struggles binnen de de alternatieve punk- en rockscene in Suriname en de docufictie ‘Hotel Mokum’ (2023) stelt je voor aan een collectief dat vijf jaar geleden het Amsterdamse Hotel Marnix kraakte. Wel blijven zitten als het licht aangaat, want na afloop vertellen makers Charity Charly en Yannesh Meijman je tijdens een nagesprek alles over hun films. Actie!</t>
  </si>
  <si>
    <t>Kromme Stad is an online film archive for thought-provoking fiction and documentary films about power and resistance in cities around the world. You can browse their treasure trove on Instagram, but Kromme Stad also regularly organizes events in cinemas, squats, and other independent cultural oases. Step right in, HOLDING, your own urban arthouse for a morning matinee featuring two short films.  
*‘Tra Fasi’* (2025) delves into the struggles within the alternative punk and rock scene in Suriname, while the docufiction *‘Hotel Mokum’* (2023) introduces you to a collective that squatted Amsterdam’s Hotel Marnix five years ago. Stay seated when the lights come on, because afterward, filmmakers Charity Charly and Yannesh Meijman will share everything about their films during a Q&amp;A session. Action!</t>
  </si>
  <si>
    <t>Smibology’s Voice, Hip-Hop’s Philosopher</t>
  </si>
  <si>
    <t>[using festival bio due to a lack of publicly available data] HOLDING keeps you on track not just with music. Today, you start your day with a lecture by Prof. Soortkill, philosopher, writer, and the number one expert in Smibanees, the language of Amsterdam's Bijlmer. Attentive hip-hop fans also know Soortkill from the early inner circle around SMIB and the must-watch Dutch hip-hop documentary *‘Iemand Moet Het Doen’* (*‘Someone Has to Do It’*). A true culture connoisseur, perfectly suited for a lecture on hip-hop, our colonial past, and the power of hip-hop as a tool of resistance—completely in line with the Smibological mindset of the Smibanese University. Class!</t>
  </si>
  <si>
    <t>HOLDING houdt je niet alleen met muziek bij de les. Vandaag begin je je dag met een lezing van Prof. Soortkill, wijsgeer, schrijver en kundige numero uno in het Smibanees, de taal van de Amsterdamse Bijlmer. Oplettende hiphopfans kennen Soortkill bovendien van de vroegste inner circle rond SMIB en de must-check nederhopdocu ‘Iemand Moet Het Doen’. Een echte cultuurconnaisseur dus, geknipt voor een college over hiphop, ons koloniale verleden en de power van hiphop als verzetsmiddel – geheel in lijn met de smibologische mindset van de Smibanese University. Class!</t>
  </si>
  <si>
    <t>HOLDING keeps you on track not just with music. Today, you start your day with a lecture by Prof. Soortkill, philosopher, writer, and the number one expert in Smibanees, the language of Amsterdam's Bijlmer. Attentive hip-hop fans also know Soortkill from the early inner circle around SMIB and the must-watch Dutch hip-hop documentary *‘Iemand Moet Het Doen’* (*‘Someone Has to Do It’*). A true culture connoisseur, perfectly suited for a lecture on hip-hop, our colonial past, and the power of hip-hop as a tool of resistance—completely in line with the Smibological mindset of the Smibanese University. Class!</t>
  </si>
  <si>
    <t>[using festival bio due to a lack of publicly available data] The French artist duo Le Bateau designed the floating sculpture 'Monstrous Voices' on the lake specifically for Down The Rabbit Hole and the water art festival Bosch Parade. The elegant wooden ship is inspired by the mythological sea monster Scylla and consists of countless individual parts, which were cut out by Laëtitia Delauney, Aurélia Noudelmann, and a crew of predominantly female and queer volunteers. Spectacular in itself, but as an additional eye-catcher, the seaworthy boat also features four graceful oars, which will soon be set in motion in the Groene Heuvels in a très clever way by singing voices.
Interested in helping build it? Until the end of May, you’re more than welcome to contribute to the project at Buurtwerkplaats Noorderhof in Amsterdam. By doing so, you’ll have a chance to win two festival tickets for DTRH26! More information about the project and how to sign up can be found on this page.</t>
  </si>
  <si>
    <t>Het Franse kunstenaarsduo Le Bateau ontwierp de drijvende sculptuur ‘Monstrous Voices’ in het meer speciaal voor Down The Rabbit Hole en het waterkunstfestival Bosch Parade. Het sierlijke houten schip is geïnspireerd door het mythologische zeemonster Scylla en bestaat uit ontelbare afzonderlijke delen, die door Laëtitia Delauney, Aurélia Noudelmann en een crew van grotendeels vrouwelijke en queer vrijwilligers werden uitgezaagd. Spectaculair op zich, maar als extra blikvangers heeft de zeewaardige boot bovendien vier gracieuze roeispanen, die straks in de Groene Heuvels op très clevere wijze door zangstemmen in beweging worden gebracht.&amp;nbsp;
Zin om mee te bouwen? Tot eind mei ben je meer dan welkom om te helpen met het project op Buurtwerkplaats Noorderhof in Amsterdam. Hiermee maak je kans om twee festivaltickets voor DTRH26 te winnen! Meer info over het project en aanmelden vind je op deze pagina.</t>
  </si>
  <si>
    <t>The French artist duo Le Bateau designed the floating sculpture 'Monstrous Voices' on the lake specifically for Down The Rabbit Hole and the water art festival Bosch Parade. The elegant wooden ship is inspired by the mythological sea monster Scylla and consists of countless individual parts, which were cut out by Laëtitia Delauney, Aurélia Noudelmann, and a crew of predominantly female and queer volunteers. Spectacular in itself, but as an additional eye-catcher, the seaworthy boat also features four graceful oars, which will soon be set in motion in the Groene Heuvels in a très clever way by singing voices.
Interested in helping build it? Until the end of May, you’re more than welcome to contribute to the project at Buurtwerkplaats Noorderhof in Amsterdam. By doing so, you’ll have a chance to win two festival tickets for DTRH26! More information about the project and how to sign up can be found on this page.</t>
  </si>
  <si>
    <t>Alt-folk’s poet of raw beauty</t>
  </si>
  <si>
    <t>[using festival bio due to a lack of publicly available data] Debut single ‘Good Thing Going’ is an unintentionally aptly titled calling card. Because something truly great is happening with Dermot Henry, a 22-year-old cultural guardian of alternative folk. Everyday muses like friendship and love never abandon him, whether he's touring with the like-minded Kingfishr or spending a year in Paris making music, writing, and performing. In short: the Brit, eagerly recommended by fans of Dove Ellis and Jacob Alon, is ready to captivate the nation with unforgettable beauty.</t>
  </si>
  <si>
    <t>Debuutsingle ‘Good thing going’ is onbedoeld een treffend getiteld visitekaartje. Want er is iets héél goeds gaande met Dermot Henry, een 22 lentes jonge cultuurbewaker van de alternatieve folk. Alledaagse muzen zoals vriendschap en liefde laten hem nooit in de steek, of hij nu tourt met het gelijkgestemde Kingfishr of een jaartje in Parijs musiceert, schrijft en optreedt. Kortom: de Brit, die gretig getipt wordt door fans van Dove Ellis en Jacob Alon, is klaar om landelijk Beuningen in te pakken met onvergetelijke schoonheid.</t>
  </si>
  <si>
    <t>Debut single ‘Good Thing Going’ is an unintentionally aptly titled calling card. Because something truly great is happening with Dermot Henry, a 22-year-old cultural guardian of alternative folk. Everyday muses like friendship and love never abandon him, whether he's touring with the like-minded Kingfishr or spending a year in Paris making music, writing, and performing. In short: the Brit, eagerly recommended by fans of Dove Ellis and Jacob Alon, is ready to captivate the nation with unforgettable beauty.</t>
  </si>
  <si>
    <t>[using festival bio due to a lack of publicly available data] The bravado of Aznavour, the passion of Shaffy, the cunning wordplay of Spinvis: Frans Kalf has taste. Casually, he weaves cabaret into chanson form, ventures instrumentally into a jazzy indie-folk path, and opens his heart with layered poetry. "Did you get caught in the storm?" A line like that, sublime in its dry simplicity. There's so much more up the sleeve of this cynically cheerful Ghent-born Amsterdammer, who disarms and moves with Bossa Nova completely—just wait and see. There you were, with your hands in your hair.
Image by: Liberty Corbett</t>
  </si>
  <si>
    <t>De bravoure van Aznavour, de passie van Shaffy, het lepe taalgebruik van Spinvis: Frans Kalf heeft smaak. Losjes verweeft hij kleinkunst in chansonvorm, slaat instrumentaal een jazzy indiefolkweggetje in en opent zijn hart met gelaagde poëzie. 'Heb je nog last van het noodweer gehad?' Zo'n zin, subliem in al zijn droge eenvoud. Er zit nog veel meer in de mouw van deze cynisch-vrolijke Gentse Amsterdammer, die Bossa Nova volledig ontwapent én ontroert, let maar op. Daar stond je dan, met je handen in je haar.
Beeld door: Liberty Corbett</t>
  </si>
  <si>
    <t>The bravado of Aznavour, the passion of Shaffy, the cunning wordplay of Spinvis: Frans Kalf has taste. Casually, he weaves cabaret into chanson form, ventures instrumentally into a jazzy indie-folk path, and opens his heart with layered poetry. "Did you get caught in the storm?" A line like that, sublime in its dry simplicity. There's so much more up the sleeve of this cynically cheerful Ghent-born Amsterdammer, who disarms and moves with Bossa Nova completely—just wait and see. There you were, with your hands in your hair.
Image by: Liberty Corbett</t>
  </si>
  <si>
    <t>Een betere wereld begint bij jezelf, dus houdt Girl Group alles in eigen hand, van instrumentarium tot studioknoppen. Mannen hebben volgens Katya, Maria, Thea, Mia en Lil namelijk te veel vingers in de popmuziekpap. De vijf uit Oslo en Yorkshire mengen hun smaken tot springerige, postpunkerige inkijkjes in hun vriendschap. Instrumentenruil, choreografische gebbetjes, de sarcastische ondertoon in geoliede harmonieën en naar binnen waaiende wolkjes Billie Eilish en Lily Allen: de ongebreidelde lol spat ervan af en inspireert zo ook nog eens alle potentiële nieuwe riot grrrls op Bossa Nova.
Beeld door: Laura Braithwaite</t>
  </si>
  <si>
    <t>La Niña</t>
  </si>
  <si>
    <t>[using festival bio due to a lack of publicly available data] This wild, fierce whirlwind, often infused with Arabic influences, is fueled by both electronic and traditional instruments. The innovative musical mind behind it is the Neapolitan Carola Moccia, who, together with four other multi-instrumentalists, brings out your rhythm-sensitive alter ego. On the full-length album *Furèsta*, things truly take off, sweeping you from Mediterranean folklore to almost rave-like atmospheres. And that's nothing compared to their live performances, where the four-piece band treats you to a powerful percussion spectacle with multi-layered vocal harmonies. So hop on and brave the untamed forces of nature that are La Niña.</t>
  </si>
  <si>
    <t>Deze wilde, woeste wervelwind met veelal Arabische invloeden wordt aangewakkerd door zowel elektronische als traditionele instrumenten. Het vernieuwende muziekbrein hierachter is de Napolitaanse Carola Moccia, die samen met vier andere allesbespelers je ritmegevoelige alter ego naar boven haalt. Op langspeler ʻFurèstaʼ gaat het al helemaal los, en waai je van mediterrane folklore naar bijna rave-achtige sferen. Laat staan live, als ze je met een vierkoppige band in het echt trakteert op een straf slagwerkspektakel met meerstemmig zanggeweld. Dus hop on en trotseer de onstuimige natuurkrachten van La Niña.</t>
  </si>
  <si>
    <t>This wild, fierce whirlwind, often infused with Arabic influences, is fueled by both electronic and traditional instruments. The innovative musical mind behind it is the Neapolitan Carola Moccia, who, together with four other multi-instrumentalists, brings out your rhythm-sensitive alter ego. On the full-length album *Furèsta*, things truly take off, sweeping you from Mediterranean folklore to almost rave-like atmospheres. And that's nothing compared to their live performances, where the four-piece band treats you to a powerful percussion spectacle with multi-layered vocal harmonies. So hop on and brave the untamed forces of nature that are La Niña.</t>
  </si>
  <si>
    <t>Van simple buskers tot wereldwijd toerende supersterren, dat is het muzikale equivalent van het van-krantenjongen-tot-miljonair-verhaal. De Zuidoost-Afrikaanse Madalitso Band is goed op weg. Speelden de twee muzikanten op het moment van ontdekking nog op straat in de Malawische hoofdstad Lilongwe, inmiddels hebben ze vier albums uit en ontbreken alleen Azië en Australië nog op hun tourlijst. Toch klinkt het duo nog altijd fris en eenvoudig, met hun op eensnarige bas, viersnarige gitaar en voettrommel gespeelde, gesyncopeerde folk. Muziek zonder kapsones, goed voor een grote grijns.
Beeld door: Neil Nayar</t>
  </si>
  <si>
    <t>Nectar Woode&amp;nbsp;
Haar jeugd in het multiculturele Milton Keynes staat in het teken van R&amp;amp;B, jazz, gospel en reggae, mede beïnvloed door vaderliefs Ghanese geboortegrond. Open-mic-avonden in Londen, de eerste releases en Elton John als zelfbenoemd fanclubvoorzitter plaveiden haar pad langs mijlpalen als Glastonbury en Montreux Jazz. En ja, wie de track ‘Lights Off’ luistert, is direct verkocht: de kopstem van Alicia Keys, fijne echo's van Macy Gray en Erykah Badu en het componeertalent van Lauryn Hill. De wereld kent een nieuwe neosoulattractie in Nectar Woode.</t>
  </si>
  <si>
    <t>Vrijwel direct nadat hij zijn eerste muziek online deelde, hielp een dochterlabel van Billie Eilish' Darkroom Records de ontstane TikTok-vonk verder aan te wakkeren. Verfrissende tunes als ‘Brighter Than Before’ en ‘Minute From the Moment’, uit het leven gegrepen en barstend van het betere songwriterschap, zijn de eerste signalen van de muzikantendroomvlucht van Raynor. Op het kruispunt van lichtvoetige britpop en rauwe urban, waar Blur, The Streets en Bloc Party druk naar elkaar toeteren, ontpopt deze jonge Noord-Londenaar zich nu al als stralende verkeersregelaar.
Beeld door: Sophie Vaughan</t>
  </si>
  <si>
    <t>Overprikkelde ziel? Relax, Rikas to the rescue! Deze vier boezemvrienden uit Stuttgart laten je muzikale hottub vollopen met laidback funky indiepop en sixties-geluiden, een remedie die aanslaat in uitverkochte zalen van Parijs tot Lissabon, mede dankzij tweede plaat ‘Soundtrack For A Movie That Has Not Been Written Yet’. Zorgeloze lyrics, met klinkende glazen in ‘Tequila Shots’ en Beatles-knipoog in ‘Jude Bellingham’, maken de onthaasting compleet. Kom heupwiegend genieten met je geliefden aan je zijde en iets ijskouds in je hand – Rikas regelt de rest.
Beeld door: Lisa Nguyen</t>
  </si>
  <si>
    <t>Overstimulated soul? Relax, Rikas to the rescue! These four best friends from Stuttgart fill your musical hot tub with laid-back funky indie pop and sixties vibes, a remedy that resonates in sold-out venues from Paris to Lisbon, thanks in part to their second album, *Soundtrack For A Movie That Has Not Been Written Yet*. Carefree lyrics, with clinking glasses in *Tequila Shots* and a Beatles nod in *Jude Bellingham*, complete the unwinding experience. Come sway your hips, enjoy with your loved ones by your side, and something ice-cold in your hand—Rikas takes care of the rest.
Image by: Lisa Nguyen</t>
  </si>
  <si>
    <t>Uit het land van de rijzende zon komt SOMELINEZ tot ons. Drie in het zwart geklede, gemaskerde en samoeraihoeden dragende mannen met een aparte rolverdeling: een beatboxer, een danser en een bespeler van de shamisen, een eeuwenoud Japans snaarinstrument. Samen voeren ze je langs een trance-opwekkend schouwspel vol meditatieve melodieën, uptempo breaks en bass-heavy grooves. Daar waar wereldmuziek en hiphop elkaar raken, zeg maar, al wordt er geen woord gerapt. Geen mix waar de gemiddelde Rabbit veel ervaring mee zal hebben, maar des te intrigerender.&amp;nbsp;</t>
  </si>
  <si>
    <t>[using festival bio due to a lack of publicly available data] Distinguished audience, today you are in for something special. An act whose musicality precedes him: stay away from dante!. Support from Sef? Check. Touring with the Popronde circus? Nailed it. Making an impression at Noorderslag? A breeze. Headlining at Paradiso? Even bigger celebration. On the debut EP ‘Duizend Volle Manen,’ the Amsterdam artist breaks every hip-hop rule with a dreamy flow of rap, vocals, and uplifting beats, supported by the likes of Nnelg and Ray Fuego. The next stop for this musical caravan is Beuningen. Welcome to the show!  
Image by: Tyler Chan</t>
  </si>
  <si>
    <t>Hooggeëerd publiek, er staat u vandaag iets speciaals te wachten. Een act wiens muzikaliteit hem ver vooruit reist: stay away from dante!. Support van Sef? Check. Meereizen met het Popronde-circus? Gerockt. Indruk maken op Noorderslag? Eitje. Headlinen in Paradiso? Nog groter feestje. Op debuut-ep ‘Duizend Volle Manen’ gaat de Amsterdammer elk hiphopboekje te buiten met een dromerige flow van rap, zang en positief stemmende beats, bijgestaan door onder andere Nnelg en Ray Fuego. Volgende stop voor de muzikale karavaan is Beuningen. Welkom bij de voorstelling!&amp;nbsp;
Beeld door: Tyler Chan</t>
  </si>
  <si>
    <t>Distinguished audience, today you are in for something special. An act whose musicality precedes him: stay away from dante!. Support from Sef? Check. Touring with the Popronde circus? Nailed it. Making an impression at Noorderslag? A breeze. Headlining at Paradiso? Even bigger celebration. On the debut EP ‘Duizend Volle Manen,’ the Amsterdam artist breaks every hip-hop rule with a dreamy flow of rap, vocals, and uplifting beats, supported by the likes of Nnelg and Ray Fuego. The next stop for this musical caravan is Beuningen. Welcome to the show!  
Image by: Tyler Chan</t>
  </si>
  <si>
    <t>[using festival bio due to a lack of publicly available data] How can you bend the unwritten rules of classical music to align with the boundless possibilities of the modern era? The ADAM Quartet simply follows its own brilliant path without losing the essence of string quartet DNA. The foursome has already collaborated with dance collective ISH and Icelandic singer-songwriter Laufey, and now they’re coming to the Groene Heuvels with saxophonist and composer Kika Sprangers. Expect, just like on their debut album *Exquisite Corpse*, an innovative interplay of past and present.  
Image by: Clementine van der Bent</t>
  </si>
  <si>
    <t>Hoe kun je de ongeschreven regels binnen de klassieke muziek naar je hand zetten, zodat ze meebewegen met de grenzeloze mogelijkheden van de moderne tijd? Het ADAM Quartet gaat gewoon zijn eigen geniale gang, zonder het strijkkwartet-DNA uit het oor te verliezen. Het viertal werkte al samen met danscollectief ISH en de IJslandse singer-songwriter Laufey en komt naar de Groene Heuvels met saxofonist en componist Kika Sprangers. Verwacht, net als op debuutalbum ‘Exquisite Corpse’, een vernieuwend samenspel van heden en verleden.&amp;nbsp;
Beeld door: Clementine van der Bent</t>
  </si>
  <si>
    <t>How can you bend the unwritten rules of classical music to align with the boundless possibilities of the modern era? The ADAM Quartet simply follows its own brilliant path without losing the essence of string quartet DNA. The foursome has already collaborated with dance collective ISH and Icelandic singer-songwriter Laufey, and now they’re coming to the Groene Heuvels with saxophonist and composer Kika Sprangers. Expect, just like on their debut album *Exquisite Corpse*, an innovative interplay of past and present.  
Image by: Clementine van der Bent</t>
  </si>
  <si>
    <t>[using festival bio due to a lack of publicly available data] Rabbit Hole on pause for a moment: it’s just you, Djuwa Mroivili, and the piano as soon as this multifaceted artist’s fingers touch the black and white keys. But beware, this is chilling with a story behind it. Every phenomenally timed chord from this classically trained musician, who is also a fashion and hair pioneer, carries meaning. In this way, Mroivili creates new perspectives to shed light on history, gender, and colonial legacies, while tracing her roots with songs from the Comorian independence struggle of the 1970s. Urgent and breathtaking.
Image by: Mo Futures</t>
  </si>
  <si>
    <t>Rabbit Hole even op standby: alleen jij, Djuwa Mroivili en de piano doen ertoe zodra de vingers van deze veelzijdige artiest het zwart en wit beroeren. Maar let op, dit is chillen met een verhaal erachter. Elk fenomenaal getimed akkoord van deze klassiek geschoolde muzikante, tevens fashion- en hairpionier, heeft betekenis. Zo creëert Mroivili nieuwe invalshoeken om geschiedenis, gender en koloniale erfenissen te belichten, en speurt ze naar haar roots met nummers uit de Comorese onafhankelijkheidsstrijd van de jaren 70. Urgent en wonderschoon.
Beeld door: Mo Futures</t>
  </si>
  <si>
    <t>Rabbit Hole on pause for a moment: it’s just you, Djuwa Mroivili, and the piano as soon as this multifaceted artist’s fingers touch the black and white keys. But beware, this is chilling with a story behind it. Every phenomenally timed chord from this classically trained musician, who is also a fashion and hair pioneer, carries meaning. In this way, Mroivili creates new perspectives to shed light on history, gender, and colonial legacies, while tracing her roots with songs from the Comorian independence struggle of the 1970s. Urgent and breathtaking.
Image by: Mo Futures</t>
  </si>
  <si>
    <t>Lonelinoise - Sofia’s Trip</t>
  </si>
  <si>
    <t>[using festival bio due to a lack of publicly available data] Thomas Dulfer, bassoonist and director of the contemporary classical music platform Lonelinoise, introduces you to the lives of two master composers: the Iranian Soheil Shayesteh, who clashes traditional, Eastern kamancheh sounds with trance, and Sofia Gubaidulina, the Russian conservatory rebel who spent her life swimming against the culture-suffocating Soviet laws—and even survived a KGB assassination attempt. The production "Sofia's Trip" brings their brave, creative worlds together in a psychedelic adventure full of unexpected twists. No dress code, no program booklets, no folding chairs; just forty-five minutes of breathless admiration.</t>
  </si>
  <si>
    <t>Thomas Dulfer, fagottist en directeur van het hedendaagse klassieke muziekplatform Lonelinoise introduceert je in de levens van twee meestercomponisten: de Iraniër Soheil Shayesteh die traditionele, oosterse kamancheh-klanken met trance laat clashen en Sofia Gubaidulina, de Russische conservatoriumrebel die haar leven lang tegen de cultuurverstikkende Sovjetwetten in zwom – en zelfs een KGB-aanslag overleefde. De productie ‘Sofia’s Trip’ brengt hun dappere, creatieve werelden samen tijdens een psychedelisch avontuur vol onverwachte wendingen. Geen dresscode, geen programmaboekjes, geen klapstoeltjes; wel drie kwartier lang ademloze bewondering.</t>
  </si>
  <si>
    <t>Thomas Dulfer, bassoonist and director of the contemporary classical music platform Lonelinoise, introduces you to the lives of two master composers: the Iranian Soheil Shayesteh, who clashes traditional, Eastern kamancheh sounds with trance, and Sofia Gubaidulina, the Russian conservatory rebel who spent her life swimming against the culture-suffocating Soviet laws—and even survived a KGB assassination attempt. The production "Sofia's Trip" brings their brave, creative worlds together in a psychedelic adventure full of unexpected twists. No dress code, no program booklets, no folding chairs; just forty-five minutes of breathless admiration.</t>
  </si>
  <si>
    <t>Even een break van alle trommelvliesterror? Laaf je aan de gevoelige snaren van het MSM String Quartet. Eerste violist Nikita Akulov richtte de Maastricht Society of Music op om podia en muzikanten van verschillende nationaliteiten te mixen en matchen. Meer dan tweehonderd optredens door heel Europa later staat er een vette vink achter dat doel, en een First Great Award van de Vienna International Music Competition werd eveneens binnengesleept. In Edens groene huiskamer Bossa Nova brengen de vier klassieke snaarmaestro’s twintigste-eeuwse werken ten gehore.
Beeld door: Laurent Stevens</t>
  </si>
  <si>
    <t>[using festival bio due to a lack of publicly available data] They are the crème de la crème of Dutch stage talent. Orkater &amp; Invites take you on a weekend journey into a delightfully eccentric world full of music, dance, and theater. A vibrant evening that sparkles with wonders well past midnight, leaving you craving more every time.
During ‘Jim's secret unhinged wedding party,’ all you have to do is say ‘yes’ to a complete stranger, and Gotu Jim will take care of the rest with surprising acts to make it the best day of your life—think recorder ballad meets tearjerker meets a cappella punk.
Next, experience ‘Lost&amp;Found Futures,’ an exuberant rave with hypnotic visuals pointing toward the future, brought to you by the most rebellious Flemish collective of the moment.
‘A Requiem For Your Fuckups’ is for six brave souls who dare to strut down a catwalk celebrating our festival mishaps, accompanied by an impeccable choir and a secret showstopper.
Finally, there’s ‘Orkater goes Titanic,’ where musicians, actors, and dancers join you in breathing new life into the iconic film nearly thirty years later. Because: ‘I’ll never let go, Jack!’ And what if, this time, Jack holds on? Every day ends happily at Bossa Nova.</t>
  </si>
  <si>
    <t>Ze zijn de crème de la crème van het Nederlandse podiumtalent. Orkater &amp;amp; Invites nemen je het hele weekend mee naar een prettig gestoorde wereld vol muziek, dans en theater. Een bonte avond die tot ver na middernacht spettert van wonderbaarlijkheden en je telkens doet smachten naar meer.
Tijdens ‘Jim's secret unhinged wedding party’ hoef je alleen ‘ja’ te zeggen tegen een wildvreemde, dan zorgt Gotu Jim met verrassende surprise acts voor de mooiste dag van je leven – denk blokfluitballad meets tranentrekker meets a capellapunk.
Aansluitend zie je ‘Lost&amp;amp;Found Futures’, een uitbundige rave met hypnotiserende visuals richting de toekomst, van het meest tegendraadse Vlaamse collectief van dit moment.&amp;nbsp;
‘A Requiem For Your Fuckups’ is voor zes uitverkorenen die het aandurven: paraderen op een catwalk om onze festivalfuckups te vieren, onder begeleiding van een onberispelijk koor en een geheime showstopper.&amp;nbsp;
Tot slot zie je ‘Orkater goes Titanic’, waarbij muzikanten, acteurs en dansers met jou de iconische film na bijna dertig jaar nieuw leven inblazen. Want: ‘I’ll never let go, Jack!’ En wat als Jack deze keer blijft hangen? Elke dag een happy end op Bossa Nova.</t>
  </si>
  <si>
    <t>They are the crème de la crème of Dutch stage talent. Orkater &amp; Invites take you on a weekend journey into a delightfully eccentric world full of music, dance, and theater. A vibrant evening that sparkles with wonders well past midnight, leaving you craving more every time.
During ‘Jim's secret unhinged wedding party,’ all you have to do is say ‘yes’ to a complete stranger, and Gotu Jim will take care of the rest with surprising acts to make it the best day of your life—think recorder ballad meets tearjerker meets a cappella punk.
Next, experience ‘Lost&amp;Found Futures,’ an exuberant rave with hypnotic visuals pointing toward the future, brought to you by the most rebellious Flemish collective of the moment.
‘A Requiem For Your Fuckups’ is for six brave souls who dare to strut down a catwalk celebrating our festival mishaps, accompanied by an impeccable choir and a secret showstopper.
Finally, there’s ‘Orkater goes Titanic,’ where musicians, actors, and dancers join you in breathing new life into the iconic film nearly thirty years later. Because: ‘I’ll never let go, Jack!’ And what if, this time, Jack holds on? Every day ends happily at Bossa Nova.</t>
  </si>
  <si>
    <t>[using festival bio due to a lack of publicly available data] This year, the CROQUE Madame is your new favorite hang-out – especially during the CROQUE Madame REVUE by MAISON the FAUX. Take a seat, order a drink from the dedicated table service, and make yourself comfortable, because this show swirls all around you. Performances pop up where you least expect them: on the floor, around the bar, right next to your table. Prepare to be dazzled and intrigued by world-class performers that change daily, with the only constant being the heartbeat of a vibrant world that keeps surprising you until the very end.
As part of the CROQUE Madame REVUE by MAISON the FAUX, each day begins with a magical choir workshop led by the pop choir The Space Choir, featuring a catchy sing-along repertoire ranging from Beyoncé to Spinvis to Troye Sivan.</t>
  </si>
  <si>
    <t>Dit jaar is the CROQUE Madame je nieuwe favoriete hang-out – en al helemaal tijdens the CROQUE Madame REVUE by MAISON the FAUX.&amp;nbsp;Ga lekker zitten, bestel een drankje bij de dedicated tafelservice en maak het jezelf gemakkelijk, want deze show wervelt overal om je heen. Performances duiken namelijk op waar je ze nooit verwacht: op de vloer, rond de bar, precies naast je tafel. Laat je overdonderen en prikkelen door dagelijks variërende performers van wereldklasse, met als enige houvast de hartslag van een springlevende wereld die je tot het einde blijft verrassen.
Als onderdeel van the CROQUE Madame REVUE by MAISON the FAUX begin je elke dag uit volle borst met een magische koorworkshop gegeven door popkoor The Space Choir, met een catchy sing-alongrepertoire van Beyoncé tot Spinvis tot Troye Sivan.&amp;nbsp;</t>
  </si>
  <si>
    <t>This year, the CROQUE Madame is your new favorite hang-out – especially during the CROQUE Madame REVUE by MAISON the FAUX. Take a seat, order a drink from the dedicated table service, and make yourself comfortable, because this show swirls all around you. Performances pop up where you least expect them: on the floor, around the bar, right next to your table. Prepare to be dazzled and intrigued by world-class performers that change daily, with the only constant being the heartbeat of a vibrant world that keeps surprising you until the very end.
As part of the CROQUE Madame REVUE by MAISON the FAUX, each day begins with a magical choir workshop led by the pop choir The Space Choir, featuring a catchy sing-along repertoire ranging from Beyoncé to Spinvis to Troye Sivan.</t>
  </si>
  <si>
    <t>[using festival bio due to a lack of publicly available data] The title of her EP, *"A Very Ordinary Girl,"* is deceptive, because there is truly nothing ordinary about Alice Olsthoorn. This rising icon of Dutch trash-rave channels her love for hyperpop into extravagant bangers with raunchy, humorous, and catchy lyrics. The futuristic club tracks from this whirlwind are designed to surrender yourself to ecstatic bliss. As a beacon of queer rave culture, Alice Olsthoorn is simultaneously smashing all sacred cows. It’s a triumph that has already made countless Dutch dance floors significantly wilder.</t>
  </si>
  <si>
    <t>De titel van haar ep ‘Een Heel Ordinair Meisje’ is verraderlijk, want er is werkelijk niets alledaags aan Alice Olsthoorn. Dit aanstormende icoon van de Hollandse trash-rave verwerkt haar voorliefde voor hyperpop in extravagante bangers met vunzige, humoristische en catchy lyrics. De futuristische clubtracks van deze wervelwind zijn er om je over te geven aan verrukte extase. Als baken van de queer ravecultuur schopt Alice Olsthoorn ondertussen alle heilige huisjes omver. Het is een zegetocht die al talloze Nederlandse dansvloeren flink wat vuiger heeft gemaakt.</t>
  </si>
  <si>
    <t>The title of her EP, *"A Very Ordinary Girl,"* is deceptive, because there is truly nothing ordinary about Alice Olsthoorn. This rising icon of Dutch trash-rave channels her love for hyperpop into extravagant bangers with raunchy, humorous, and catchy lyrics. The futuristic club tracks from this whirlwind are designed to surrender yourself to ecstatic bliss. As a beacon of queer rave culture, Alice Olsthoorn is simultaneously smashing all sacred cows. It’s a triumph that has already made countless Dutch dance floors significantly wilder.</t>
  </si>
  <si>
    <t>[using festival bio due to a lack of publicly available data] The advanced rhythms, razor-sharp percussion, and raw textures come at you full force during a set by DJ Shahmaran, though that doesn’t mean this Rotterdam talent is all about intensity. This versatile powerhouse from the queer underground scene sees club music as the ultimate expressive and emotional medium, where heavy bass serves as a balm for the soul. Their sets at major festivals and in intimate club settings have refined DJ Shahmaran’s healing mission: their extremely danceable tracks are deeply personal expressions of a unique club artist.</t>
  </si>
  <si>
    <t>The advanced rhythms, razor-sharp percussion, and raw textures come at you full force during a set by DJ Shahmaran, though that doesn’t mean this Rotterdam talent is all about intensity. This versatile powerhouse from the queer underground scene sees club music as the ultimate expressive and emotional medium, where heavy bass serves as a balm for the soul. Their sets at major festivals and in intimate club settings have refined DJ Shahmaran’s healing mission: their extremely danceable tracks are deeply personal expressions of a unique club artist.</t>
  </si>
  <si>
    <t>Dat de talloze vreemde mutaties van hedendaagse clubmuziek een prachtig organisch geheel kunnen vormen, laat Elena Colombi met elke set horen. De NTS-resident en labelbaas van Osàre! Editions is immers meester in het samensmelten van stijlen, met een bijzondere voorkeur voor obscure pareltjes van nog onontdekte artiesten. De uit Italië afkomstige Londoner is de verbindende factor tussen industriële ritmes, pulserende techno, atmosferische ambient, freaky disco en een hele vergaarbak aan andere waanzinnige clubstijlen. Achter de decks is alles mogelijk, waardoor een set van Elena Colombi altijd een onderdompeling in het onbekende belooft.</t>
  </si>
  <si>
    <t>That the countless strange mutations of contemporary club music can form a beautifully organic whole is something Elena Colombi demonstrates with every set. The NTS resident and head of the Osàre! Editions label is a master at blending styles, with a particular penchant for obscure gems from yet-to-be-discovered artists. The Italian-born Londoner serves as the connecting thread between industrial rhythms, pulsating techno, atmospheric ambient, freaky disco, and a whole treasure trove of other mind-blowing club styles. Behind the decks, anything is possible, making an Elena Colombi set always a promise of immersion into the unknown.</t>
  </si>
  <si>
    <t>Amsterdam’s maestro of electro grooves</t>
  </si>
  <si>
    <t>Dit zelfverklaarde buitenbeentje van de Amsterdamse clubscene verdient het om in het middelpunt van de aandacht te staan. Met haar zelfgebouwde modulaire synthesizer componeert MAYO namelijk overweldigende clubbeukers die duistere en mysterieuze werelden oproepen. Haar punky tracks zijn hypnotiserende verbasteringen van EBM en techno, een unieke mix die gretig aftrek vindt op dansvloeren in binnen- en buitenland. Het recente album ‘Rebirth’ verpakt sinistere drums en gruizige synths in poëtische, bezwerende tracks die je hartslag op de dansvloer heel gestaag doen stijgen.
Beeld door Kees de Klein</t>
  </si>
  <si>
    <t>Het magnetisme van Sam Quealy is onweerstaanbaar. De singer/performer groeide op in Sydney, maar werd pas echt volwassen in de Parijse cabaretclubs en vogue house Comme des Garçons. Solide credits met supersterpotentie: Quealy verovert momenteel clubs en theaters wereldwijd met een strak gestyleerde liveshow die hedonisme, retroromantiek en moderne vrouwelijkheid in de spotlights zet. Argumenten genoeg om Quealy’s performance in the CROQUE Madame niet te missen, heet op de hielen van de release van haar tweede album ‘JAWBREAKER’, een all-killer floorfiller vol hoogglanzende electropop, eurodance en techno.</t>
  </si>
  <si>
    <t>The magnetism of Sam Quealy is irresistible. The singer/performer grew up in Sydney but truly came into her own in the Parisian cabaret clubs and vogue house Comme des Garçons. Solid credentials with superstar potential: Quealy is currently conquering clubs and theaters worldwide with a sleekly styled live show that highlights hedonism, retro romance, and modern femininity. Plenty of reasons not to miss Quealy's performance at CROQUE Madame, hot on the heels of the release of her second album *JAWBREAKER*, an all-killer floor-filler packed with high-gloss electropop, eurodance, and techno.</t>
  </si>
  <si>
    <t>[using festival bio due to a lack of publicly available data] Latin American club music is evolving at a pace that's almost impossible to keep up with. Fortunately, thanks to TOCCORORO, you get a spectacular overview of this advanced rave culture. The Cuban-Spanish DJ blends guaracha, raptor house, tribal, and aleteo with razor-sharp precision. Her dynamic sets are the crème de la crème of the Spanish queer scene, raising the intensity on dance floors at the world's best festivals and clubs. Her Ibiza Boiler Room set for Charli XCX is proof that TOCCORORO knows how to elevate the underground to the next level.</t>
  </si>
  <si>
    <t>De Latijns-Amerikaanse clubmuziek ontwikkelt zich in een tempo dat je bijna niet bij kunt houden. Gelukkig krijg je dankzij TOCCORORO een grandioos totaalbeeld van die vergevorderde ravecultuur. De Cubaans-Spaanse dj mixt guaracha, raptor house, tribal en aleteo op het scherpst van de snede. Haar dynamische sets zijn de crème de la crème van de Spaanse queerscene en verhogen de druk op dansvloeren van de beste festivals en clubs ter wereld. Haar Ibiza Boiler Room-set voor Charli XCX toont maar aan dat TOCCORORO de underground naar een hoger niveau weet te tillen.</t>
  </si>
  <si>
    <t>Latin American club music is evolving at a pace that's almost impossible to keep up with. Fortunately, thanks to TOCCORORO, you get a spectacular overview of this advanced rave culture. The Cuban-Spanish DJ blends guaracha, raptor house, tribal, and aleteo with razor-sharp precision. Her dynamic sets are the crème de la crème of the Spanish queer scene, raising the intensity on dance floors at the world's best festivals and clubs. Her Ibiza Boiler Room set for Charli XCX is proof that TOCCORORO knows how to elevate the underground to the next level.</t>
  </si>
  <si>
    <t>[using festival bio due to a lack of publicly available data] As part of the CROQUE Madame REVUE by MAISON the FAUX, you start each day with a magical choir workshop led by The Space Choir. This pop choir, featuring a catchy sing-along repertoire from artists like Beyoncé, Spinvis, and Troye Sivan, was founded a few years ago in Rotterdam to bring people together—regardless of age, background, or singing experience—through singing and grooving. With long, eager waiting lists, have you always dreamed of shining like a nightingale or finally want to find out if you can really sing? This is your chance to make your voice heard!
Image by Yaiza Dirksen</t>
  </si>
  <si>
    <t>Als onderdeel van the CROQUE Madame REVUE by MAISON the FAUX begin je elke dag uit volle borst met een magische koorworkshop gegeven door The Space Choir. Dit popkoor met catchy sing-alongrepertoire van bijvoorbeeld Beyoncé, Spinvis en Troye Sivan werd een paar jaar geleden in Rotterdam opgericht om mensen, ongeacht leefijtijd, achtergrond of zangervaring, zingend en groovend samen te brengen. Met lange, popelende wachtlijsten, dus wil je al je hele leven shinen als nachtegaal of nu eindelijk weleens weten of je echt kunt zingen? Dit is je kans om je stem te laten horen!
Beeld door Yaiza Dirksen</t>
  </si>
  <si>
    <t>As part of the CROQUE Madame REVUE by MAISON the FAUX, you start each day with a magical choir workshop led by The Space Choir. This pop choir, featuring a catchy sing-along repertoire from artists like Beyoncé, Spinvis, and Troye Sivan, was founded a few years ago in Rotterdam to bring people together—regardless of age, background, or singing experience—through singing and grooving. With long, eager waiting lists, have you always dreamed of shining like a nightingale or finally want to find out if you can really sing? This is your chance to make your voice heard!
Image by Yaiza Dirksen</t>
  </si>
  <si>
    <t>[using festival bio due to a lack of publicly available data] Latin lovers are in for a treat at Club Coco, the vibrant casa of Mama Coco Maria, a native Mexican who was raised on the power of music. She celebrates her passion here not only as a curator but also alongside the lively contributions of fellow DJs Vintage Voudou, Mambo Chick, and Palo Santo Discos, creating a sizzling Latin American fusion. From jazz to samba, and from Latin funk to cumbia, complemented by rare sounds from other sunny regions. At Club Coco, it’s always summer.
Image by Kay Nambiar</t>
  </si>
  <si>
    <t>Latinlovers zitten pico bello bij Club Coco, de kleurrijke casa van mama Coco Maria, een geboren Mexicaanse die de power of music met de paplepel kreeg ingegoten. Haar liefde daarvoor viert ze hier niet alleen als curator en krijgt mede kleur in de zwierige handen van collega-dj’s Vintage Voudou, Mambo Chick en Palo Santo Discos, met een dampende Latijns-Amerikaanse kruisbestuiving. Van jazz tot samba en van latinfunk tot cumbia, samen met zeldzamere klanken uit andere zonnige streken. In Club Coco is het altijd zomer.
Beeld door Kay Nambiar</t>
  </si>
  <si>
    <t>Latin lovers are in for a treat at Club Coco, the vibrant casa of Mama Coco Maria, a native Mexican who was raised on the power of music. She celebrates her passion here not only as a curator but also alongside the lively contributions of fellow DJs Vintage Voudou, Mambo Chick, and Palo Santo Discos, creating a sizzling Latin American fusion. From jazz to samba, and from Latin funk to cumbia, complemented by rare sounds from other sunny regions. At Club Coco, it’s always summer.
Image by Kay Nambiar</t>
  </si>
  <si>
    <t>[using festival bio due to a lack of publicly available data] Dancing like a beast—who doesn’t do that sometimes? But it can be more structured, as you'll learn in the dance workshop Meet Your Animal. Based on animal flow and movement, and inspired by a wide range of practiced movement techniques—from dance and fitness to capoeira and acrobatics—you’ll discover and unleash the animal within you. You’ll learn to move like an animal, dance like an animal, and roar like an animal. Or whisper, that’s fine too. And as you progress, you might even meet your spirit animal.  
Image by McKenna Mahacek</t>
  </si>
  <si>
    <t>Dansen als een beest, wie doet dat soms niet? Maar dat kan gestructureerder, leer je bij dansworkshop Meet Your Animal. Gebaseerd op animal flow en movement, en geïnspireerd door een waaier aan veel beoefende bewegingstechnieken – van dans en fitness tot capoeira en acrobatiek – vind en bevrijd je het dier in jezelf. Je leert bewegen als een dier, dansen als een dier en roepen als een dier. Of fluisteren, ook prima. En gaat dat van goed tot beter, dan ontmoet je misschien zelfs je spirit animal.  
Beeld door McKenna Mahacek</t>
  </si>
  <si>
    <t>Dancing like a beast—who doesn’t do that sometimes? But it can be more structured, as you'll learn in the dance workshop Meet Your Animal. Based on animal flow and movement, and inspired by a wide range of practiced movement techniques—from dance and fitness to capoeira and acrobatics—you’ll discover and unleash the animal within you. You’ll learn to move like an animal, dance like an animal, and roar like an animal. Or whisper, that’s fine too. And as you progress, you might even meet your spirit animal.  
Image by McKenna Mahacek</t>
  </si>
  <si>
    <t>[using festival bio due to a lack of publicly available data] At the Idyllic Field, you can not only get hands-on with crafts but also get creative with needle &amp; thread and other handicraft techniques. All thanks to the three accessible workshops by Knits &amp; Notes, an Amsterdam-based platform that introduces you to the gentle art of bracelet knotting, bag charm macramé, and relaxing weaving. Not to be confused with drifting off, as a DJ and dance floor are integral parts of the experience. In fact, the music sets the right mood, fosters connection, and sparks inspiration. No knits without notes.</t>
  </si>
  <si>
    <t>Op het Idyllische Veldje kun je behalve met handenarbeid je vingers ook laten wapperen met naald &amp;amp; draad en andere handwerktechnieken. Dat alles dankzij de drie laagdrempelige workshops van Knits &amp;amp; Notes, een Amsterdams platform dat je achtereenvolgens inwijdt in de zachte kunst van het armbandjes knopen, bagcharms macrameeën en onthaastend weven. Niet te verwarren met zweven, want dj en dansvloer maken integraal deel uit van de beleving. Sterker nog, de muziek zorgt voor de juiste sfeer, verbinding en inspiratie. Geen knits zonder notes.</t>
  </si>
  <si>
    <t>At the Idyllic Field, you can not only get hands-on with crafts but also get creative with needle &amp; thread and other handicraft techniques. All thanks to the three accessible workshops by Knits &amp; Notes, an Amsterdam-based platform that introduces you to the gentle art of bracelet knotting, bag charm macramé, and relaxing weaving. Not to be confused with drifting off, as a DJ and dance floor are integral parts of the experience. In fact, the music sets the right mood, fosters connection, and sparks inspiration. No knits without notes.</t>
  </si>
  <si>
    <t>[using festival bio due to a lack of publicly available data] The creative minds behind the queer club night ICONIC know how to throw a party – and you better believe it’s all about dancing. Go go go to Teddy Widder, where Vera Siemons and Liza van den Brink will be going all out all night with their ultimate Rabbit Radio playlist packed with festival bangers and unexpected classics. With day jobs at 3FM and TivoliVredenburg, this dream team has an impeccable feel for today’s vibe, effortlessly transitioning from Robyn to Honey Dijon, Froukje, and Chappell Roan. It’s going to be another late one.</t>
  </si>
  <si>
    <t>De geestelijk moeders van de queer clubavond ICONIC weten hoe je een feestje geeft – en beter geloof je dat dat dansen geblazen is. Go go go naar Teddy Widder, waar Vera Siemons en Liza van den Brink de hele nacht uitpakken met hun ultieme Rabbit Radio-playlist vol festivalbangers en verrassende classics. Met dagjobs bij 3FM en TivoliVredenburg voelt dit dreamteam de vibe van nu vlekkeloos aan en schakelen ze in een moeite door van Robyn naar Honey Dijon, Froukje en Chappell Roan. Dat wordt weer een latertje.</t>
  </si>
  <si>
    <t>The masterminds behind the queer club night ICONIC know how to throw a party – and you better believe it’s all about dancing. Go go go to Teddy Widder, where Vera Siemons and Liza van den Brink will be going all out all night with their ultimate Rabbit Radio playlist packed with festival bangers and surprising classics. With day jobs at 3FM and TivoliVredenburg, this dream team flawlessly taps into the vibe of the moment, effortlessly transitioning from Robyn to Honey Dijon, Froukje, and Chappell Roan. It’s going to be another late one.</t>
  </si>
  <si>
    <t>[using festival bio due to a lack of publicly available data] Hooray! These two alternative apostles from The Hague are bringing the holy indie fire to Teddy Widder. Expect a chips-load of Rabbit Radio favorites, as the marathon setlists of INDIE GLORIA could easily double as the current lineup poster for Down The Rabbit Hole. So, not exactly your dad's record collection, but with Wouter Andeweg and Abel Vlaanderen, you'll be dancing all night to indie hits from your own airplay, from Amyl to ROSALÍA and from Fat Dog to Four Tet and Vivaldi. Wait, what?
Image by Alicia Karsonopoero</t>
  </si>
  <si>
    <t>Hoera! Deze twee alternative-apostelen uit Den Haag komen het heilige indievuur naar Teddy Widder brengen. Daar zit zeker een chipsload aan Rabbit Radiofavorieten tussen, want de marathonsetlists van INDIE GLORIA kunnen zo doorgaan voor de actuele line-upposter van Down The Rabbit Hole. Niet per se je vaders platenkast dus, maar bij Wouter Andeweg en Abel Vlaanderen dans je de hele nacht op indie uit je eigen airplay, van Amyl tot ROSALÌA en van Fat Dog tot Four Tet en Vivaldi. Wacht, wat?
Beeld door Alicia Karsonopoero</t>
  </si>
  <si>
    <t>Hooray! These two alternative apostles from The Hague are bringing the holy indie fire to Teddy Widder. Expect a chips-load of Rabbit Radio favorites, as the marathon setlists of INDIE GLORIA could easily double as the current lineup poster for Down The Rabbit Hole. So, not exactly your dad's record collection, but with Wouter Andeweg and Abel Vlaanderen, you'll be dancing all night to indie hits from your own airplay, from Amyl to ROSALÍA and from Fat Dog to Four Tet and Vivaldi. Wait, what?
Image by Alicia Karsonopoero</t>
  </si>
  <si>
    <t>[using festival bio due to a lack of publicly available data] DJ Arnold Scheepmaker has been a cornerstone of Down The Rabbit Hole's nightlife agenda for years, and not without reason. Only the best for Rabbit Radio in Fuzzy Lop: this selector extraordinaire is the mastermind behind the traveling club nights Kiss All Hipsters and 110% Indie, which keep alternative dance floors both at home and abroad packed until the early hours. Those who remember his legendary Noodlanding nights already know they’re in for top-notch indie deluxe, expertly interwoven with hip-hop, pop, electronic, and every imaginable crossover in between. Ready for lift-off?</t>
  </si>
  <si>
    <t>DJ Arnold Scheepmaker has been a cornerstone of Down The Rabbit Hole's nightlife agenda for years, and not without reason. Only the best for Rabbit Radio in Fuzzy Lop: this selector extraordinaire is the mastermind behind the traveling club nights Kiss All Hipsters and 110% Indie, which keep alternative dance floors both at home and abroad packed until the early hours. Those who remember his legendary Noodlanding nights already know they’re in for top-notch indie deluxe, expertly interwoven with hip-hop, pop, electronic, and every imaginable crossover in between. Ready for lift-off?</t>
  </si>
  <si>
    <t>David Bade x Bosch Parade – Burn Out Clinic</t>
  </si>
  <si>
    <t>[using festival bio due to a lack of publicly available data] At Sound of Surf Shack, summer days feel endless: with a world-class DJ tag team, you can soak up the sun all weekend long with sunny tunes for all-day deluxe beach parties by the lake.
Surf Shack, daily 1:00 PM–1:00 AM, Thursday 6:00 PM–11:00 PM</t>
  </si>
  <si>
    <t>At Sound of Surf Shack, summer days feel endless: with a world-class DJ tag team, you can soak up the sun all weekend long with sunny tunes for all-day deluxe beach parties by the lake.
Surf Shack, daily 1:00 PM–1:00 AM, Thursday 6:00 PM–11:00 PM</t>
  </si>
  <si>
    <t>[using festival bio due to a lack of publicly available data] Whether you woke up feeling extra crunchy or have been eager for action since the crack of dawn, yoga next to the Surf Shack is the perfect kickstart to your day. Guided by the rhythms of healing drums and dynamic meditation, Vinyasa Flow yoga harmonizes your breath and movements, naturally aligning your body and mind. Even if poses like Warrior and Downward Dog mean nothing to you, it's worth a try—at the Samana Yoga Center Amsterdam, beginners are just as welcome as advanced practitioners.
Next to Surf Shack, daily 10:00-13:00</t>
  </si>
  <si>
    <t>Whether you woke up feeling extra crunchy or have been eager for action since the crack of dawn, yoga next to the Surf Shack is the perfect kickstart to your day. Guided by the rhythms of healing drums and dynamic meditation, Vinyasa Flow yoga harmonizes your breath and movements, naturally aligning your body and mind. Even if poses like Warrior and Downward Dog mean nothing to you, it's worth a try—at the Samana Yoga Center Amsterdam, beginners are just as welcome as advanced practitioners.
Next to Surf Shack, daily 10:00-13:00</t>
  </si>
  <si>
    <t>[using festival bio due to a lack of publicly available data] By Thomas Steigenga, Studio de Gruijter, and adegproto
Check out the waterfront at Hotot for the mirrored cube ‘Upside Down The Rabbit Hole,’ the latest addition to the art collection of the open-air museum Down The Rabbit Hole. The installation by Thomas Steigenga, Studio de Gruijter, and adegproto turns your brain completely upside down in a light- and sound-free camera obscura, projecting the dreamily shifting outside world inverted onto the wall. You can even control this freaky mind-bender yourself by playing with focus, distortion, and scale via the lens wheel. But who’s watching whom?</t>
  </si>
  <si>
    <t>Door Thomas Steigenga, Studio de Gruijter en adegproto
Check de waterkant bij Hotot voor de spiegelkubus ‘Upside Down The Rabbit Hole’, de nieuwste aanwinst in de kunstcollectie van open-airmuseum Down The Rabbit Hole. De installatie van Thomas Steigenga, Studio de Gruijter en adegproto zet je brein compleet op zijn kop in een licht- en geluidarme camera obscura, die de dromerig bewegende buitenwereld ondersteboven op de muur projecteert. Die freaky mindfuck kun je vervolgens nog zelf sturen ook, door via het lenswiel te spelen met scherpte, vervorming en schaal. Maar wie kijkt er naar wie?</t>
  </si>
  <si>
    <t>By Thomas Steigenga, Studio de Gruijter, and adegproto
Check out the waterfront at Hotot for the mirrored cube ‘Upside Down The Rabbit Hole,’ the latest addition to the art collection of the open-air museum Down The Rabbit Hole. The installation by Thomas Steigenga, Studio de Gruijter, and adegproto turns your brain completely upside down in a light- and sound-free camera obscura, projecting the dreamily shifting outside world inverted onto the wall. You can even control this freaky mind-bender yourself by playing with focus, distortion, and scale via the lens wheel. But who’s watching whom?</t>
  </si>
  <si>
    <t>Als er één Nederlandstalige rapper is die mag opgaan voor de titel GOAT, dan is het wel Sticks. Ooit gestart in de baanbrekende rapcrew Opgezwolle, succesvol solo verder getrokken en bouwer van spannende supergroepen als Fakkelbrigade en Great Minds, met collegakanjers als Typhoon en Jiggy Djé. Daarnaast stortte de invloedrijke Zwollenaar zich op de uiteenlopendste bezigheden, van ambassadeur van voetbalclub PEC Zwolle tot oprichter van hiphopplatform Fakkelteitgroep en van A&amp;amp;R-man bij platenlabel Top Notch tot maker van een multimediaal kunstproject. Kortom, de ideale Special Guest op Down The Rabbit Hole, die naast een show op Hotot het hele weekend op de gekste plekken zal opduiken in de Groene Heuvels.</t>
  </si>
  <si>
    <t>If there is one Dutch-speaking rapper who could claim the title of GOAT, it’s Sticks. Once part of the groundbreaking rap crew Opgezwolle, he went on to have a successful solo career and built exciting supergroups like Fakkelbrigade and Great Minds, alongside heavyweight colleagues such as Typhoon and Jiggy Djé. Additionally, the influential artist from Zwolle has delved into a wide range of activities, from being an ambassador for football club PEC Zwolle to founding the hip-hop platform Fakkelteitgroep, and from working as an A&amp;R executive at record label Top Notch to creating a multimedia art project. In short, the perfect Special Guest at Down The Rabbit Hole, who, in addition to performing a show at Hotot, will pop up in the most unexpected places around the Groene Heuvels all weekend long.</t>
  </si>
  <si>
    <t>Rating</t>
  </si>
  <si>
    <t>Notes</t>
  </si>
  <si>
    <t>Dit is de band die regenpijpen bespeelt met hun slippers!</t>
  </si>
  <si>
    <t>My Rating</t>
  </si>
  <si>
    <t>My Notes</t>
  </si>
  <si>
    <t>Met een spectaculaire vrouw op de bas. Gezien op Footprints 2024.</t>
  </si>
  <si>
    <t>Vijf vrouwen - strijkkwartet en saxofoon. Modern piep-knor klassiek.</t>
  </si>
  <si>
    <t>Al gezien op Footprints 2025. Aanrader, dansbaar.</t>
  </si>
  <si>
    <t>Aanstellers</t>
  </si>
  <si>
    <t>Geen nieuw werk.</t>
  </si>
  <si>
    <t>Lekkere stem, fijne beats</t>
  </si>
  <si>
    <t>Yes, it's another retro soul band, but the great Curtis Mayfield-ish vocals, Marvin Gay-ish arrangements, great drums sounds and  nice horn arrangements make me curious to see how they're live.</t>
  </si>
  <si>
    <t>Aanstekelijke ernergie, zang niet altijd zuiver. Ooit gehoord - amper gezien want ik gok dat ze 1.50 m lang is ;-)-  in de Bossa Nova, nu op mainstage</t>
  </si>
  <si>
    <t>Traditionele country, leuke zangeres.</t>
  </si>
  <si>
    <t>Nu alweer terug! Tweede album valt een beetje tege.</t>
  </si>
  <si>
    <t>Elk jaar is er een Franse dance live-act met een retro randje, en dit is 'm.</t>
  </si>
  <si>
    <t>Van de nieuwe plaat is niet iedereen fan (Bauke!) maar dit is toch niet te missen.</t>
  </si>
  <si>
    <t>Twee punten aftrek vanwege het touren zonder nieuw album.</t>
  </si>
  <si>
    <t>Ik ben wel benieuwd</t>
  </si>
  <si>
    <t>Lang niet gezien. Vind het alleen meer iets voor in een tent en 's avonds.</t>
  </si>
  <si>
    <t>Ik ga de juich recensies gewoon negeren, want het blijft nederhop in the end.</t>
  </si>
  <si>
    <t>Je kunt ook zo laidback zijn dat je publiek in slaap valt.</t>
  </si>
  <si>
    <t>Tour van eerste album nog in Paradiso gezien, daarna nooit meer!</t>
  </si>
  <si>
    <t>Ik moet de docu nog kijken. Classic electroclash.</t>
  </si>
  <si>
    <t>Ook Belgische nederhop is saai.</t>
  </si>
  <si>
    <t>Ik vind de plaat leuk (en hem 'm op vinyl).</t>
  </si>
  <si>
    <t>Pffff, de Staat van Ontbinding</t>
  </si>
  <si>
    <t>Vorig jaar lekker bij gedanst - beetje als St. Paul maar meer poppy.</t>
  </si>
  <si>
    <t>Witte mannen rock-muziek, maar wel spannend. Mogwai-achtige builds.</t>
  </si>
  <si>
    <t>Afvinken maar.</t>
  </si>
  <si>
    <t>Ik had ze al door Shazam getrokken toen ik het hoorde op The White Lotus soundtrack.</t>
  </si>
  <si>
    <t>De verplichte Franse electro-pop zangeres. Deze maakt wel heel lichtgewicht muziek.</t>
  </si>
  <si>
    <t>DJ. "high-energy sets blending heavy metal, techno, and bass music"</t>
  </si>
  <si>
    <t>Yo, yo, yo. Mid-tempo 90s beats. Eminem-ish frasing.</t>
  </si>
  <si>
    <t>Frans-Canadese pop-zangeres</t>
  </si>
  <si>
    <t>Ik hou ook van The National</t>
  </si>
  <si>
    <t>Alweer? Ben vorige keer weggelopen na 10 minuten.</t>
  </si>
  <si>
    <t>Spannende Schotse folk-pop zanger. Jeff Buckley vergelijking gaat mank want Jacob heeft amper irritante maniertjes.</t>
  </si>
  <si>
    <t>Vroeger zou ik Amy Winhouse-kloon hebben geschreven, tegenwoordig is dat Raye-kloon. Hopen dat ze niet net zo heel veel praat.</t>
  </si>
  <si>
    <t>De grungy Olivia Rodrigo</t>
  </si>
  <si>
    <t xml:space="preserve">Voor als je zin hebt in veilige genre-getrouwe Italo disco. Melig. Een gast-optreden van Sabrina zou een +1 zijn. </t>
  </si>
  <si>
    <t>Singer-songwriter, maar geen geknauw-zang. Klinkt sympathiek. Beetje te gezellig - op een gegeven moment ga je snakken naar een uithaal.</t>
  </si>
  <si>
    <t>drum 'n' bass/trip-hop/big beat/UK garage</t>
  </si>
  <si>
    <t>house/trance/garage/progressive</t>
  </si>
  <si>
    <t>techno/house/trance/breaks</t>
  </si>
  <si>
    <t>house/disco/italo</t>
  </si>
  <si>
    <t>house/garage/UK funky/hip-hop/bass</t>
  </si>
  <si>
    <t>house/techno/ambient/trance</t>
  </si>
  <si>
    <t>ambient/experimental soundscapes/dubby techno/deep house</t>
  </si>
  <si>
    <t>house/electro/acid/techno</t>
  </si>
  <si>
    <t>dubstep/jungle/techno/electro</t>
  </si>
  <si>
    <t>hip-hop/soul/house</t>
  </si>
  <si>
    <t>bruxaria/mandelão/afrofunk/Latin American influences</t>
  </si>
  <si>
    <t>batida/tarraxo/afrotech</t>
  </si>
  <si>
    <t>baile funk/brega (funk)/bass/electro/footwork/breakbeat/jungle</t>
  </si>
  <si>
    <t>grime/Afro-diasporic electronica/kawina rhythms/deconstructed club</t>
  </si>
  <si>
    <t>Afrohouse/batacuda/Congolese soukous</t>
  </si>
  <si>
    <t>baile funk/brega/arrocha/afrohouse/shuffling percussion/breaks/bass/experimental electronics</t>
  </si>
  <si>
    <t>soca/Dennery segment/bouyon</t>
  </si>
  <si>
    <t>samba/forró/choro/bossa nova</t>
  </si>
  <si>
    <t>ghettotech/Miami bass/electronic baile/baile funk/breakbeats/Afro-tropical club music</t>
  </si>
  <si>
    <t>hip-hop/pop</t>
  </si>
  <si>
    <t>soul/jazz/funk/R&amp;B</t>
  </si>
  <si>
    <t>techno/dub/bass/ambient</t>
  </si>
  <si>
    <t>experimental/ambient/breaks/bass/computer music/trip-hop/dub techno</t>
  </si>
  <si>
    <t>neo-ambient/shoegaze/lo-fi electronica</t>
  </si>
  <si>
    <t>ambient/free jazz/minimalism</t>
  </si>
  <si>
    <t>breakbeats/techno/punk/hip-hop/absurdism</t>
  </si>
  <si>
    <t>world music/hip-hop</t>
  </si>
  <si>
    <t>the CROQUE Madame</t>
  </si>
  <si>
    <t>dubby wave/mutant dancehall</t>
  </si>
  <si>
    <t>guaracha/raptor house/tribal/aleteo</t>
  </si>
  <si>
    <t>Spain</t>
  </si>
  <si>
    <t>dubstep/gabber/rave</t>
  </si>
  <si>
    <t>jazz/samba/Latin funk/cumbia</t>
  </si>
  <si>
    <t>cumbia/Caribbean compas/Thai luk-thung/funky afrobeat/Turkish psychedelia/Jamaican dub/mento/calypso/rocksteady/lovers rock/roots reggae/dancehall</t>
  </si>
  <si>
    <t>Genesis Owusu</t>
  </si>
  <si>
    <t>https://downtherabbithole.nl/programma/genesis-owusu</t>
  </si>
  <si>
    <t>Met zijn derde album ‘REDSTAR WU &amp;amp; THE WORLDWIDE SCOURGE’ heeft Genesis Wu zijn bloedvorm definitief gevonden. De zanger, rapper en producer uit Australië is gezegend met een muzikale fluïditeit als kwikzilver on wax: electro, postpunk, rap, funk, nu-soul en alt.pop versnijdt hij moeiteloos tot bangers voor elke gelegenheid, of dat nu de moshpit of de frontlinie van de revolutie is. Daar kun je deze bonk energie blindelings naartoe volgen, helemaal omdat hij deze keer met een volledige liveband naar Nederland komt.
Beeld door Isaac Brown</t>
  </si>
  <si>
    <t>With his third album 'REDSTAR WU &amp; THE WORLDWIDE SCOURGE,' Genesis Wu has definitively found his blood form. The singer, rapper, and producer from Australia is blessed with a musical fluidity like mercury on wax: he effortlessly blends electro, post-punk, rap, funk, nu-soul, and alt.pop into bangers for every occasion, whether it's the mosh pit or the front line of the revolution. You can follow this bundle of energy blindly, especially since he is coming to the Netherlands this time with a full live band. 
Image by Isaac Brown</t>
  </si>
  <si>
    <t>{"Instagram": "https://www.instagram.com/genesisowusu/?hl=en", "Facebook": "https://www.facebook.com/owusugenesis/", "YouTube": "https://www.youtube.com/channel/UCYwSw3OIB_QwFy7tbC9-LsA", "Spotify": "https://open.spotify.com/artist/1HvH97rzvCH6lfnLlgyfke?si=tUFjCSzERmyt1_aKDbs-RA", "Website": "https://www.genesisowusu.com/"}</t>
  </si>
  <si>
    <t>Narciss</t>
  </si>
  <si>
    <t>Narciss blends ethereal soundscapes with introspective lyrics, creating a unique auditory experience.</t>
  </si>
  <si>
    <t>Electronic/Indie Pop</t>
  </si>
  <si>
    <t>Narciss is an innovative artist known for their ethereal soundscapes and introspective lyrics, often blending elements of electronic music with indie pop influences. Their work has garnered attention for its emotional depth and sonic experimentation.</t>
  </si>
  <si>
    <t>https://open.spotify.com/artist/...</t>
  </si>
  <si>
    <t>Narciss's music is characterized by a fusion of electronic beats and indie pop melodies, creating an immersive listening experience that resonates with emotional introspection and sonic innovation.</t>
  </si>
  <si>
    <t>https://downtherabbithole.nl/programma/narciss</t>
  </si>
  <si>
    <t>Narciss heeft geen hekel aan hokjes, maar wel aan bekrompen denken. Zo gaat de Duitse dj/producer met een haast obsessief enthousiasme kopje-onder in elke denkbare dancestijl, om weer met de meest wonderschone tunes tussen hun tanden op te duiken. Techno, disco, far-out house, Madonna-remixes of de sensuele synthpop van hun gelegenheidsduo Lingua Erotica: alles met een bonzend hart en een melodieuze groove krijgt bij Narciss airtime met complimenten van de chef. Op zaterdagnacht in Fuzzy Lop, dan weet jij genoeg.</t>
  </si>
  <si>
    <t>{"Instagram": "https://www.instagram.com/narcissssssssssss/?hl=en", "YouTube": "https://www.youtube.com/@itsnarciss", "Spotify": "https://open.spotify.com/artist/7jEmLGxzh2RuOwdj96tlyL?si=yw7a1InyQM2Nsm62jHv2tw"}</t>
  </si>
  <si>
    <t>DJ BORING</t>
  </si>
  <si>
    <t>Blending lo-fi house with nostalgic textures, DJ BORING crafts emotive and danceable electronic music.</t>
  </si>
  <si>
    <t>Lo-fi House/Electronic</t>
  </si>
  <si>
    <t>DJ BORING is an Australian electronic music producer and DJ known for his lo-fi house sound, characterized by warm textures and nostalgic samples. He gained widespread recognition with his breakout track 'Winona' in 2016 and has since become a prominent figure in the underground dance music scene.</t>
  </si>
  <si>
    <t>https://open.spotify.com/artist/4nZqgWkvo8mH8K1fO0p4sE</t>
  </si>
  <si>
    <t>DJ BORING's signature lo-fi house style combines emotive melodies, vintage sampling, and infectious grooves, earning him a reputation as a key innovator in modern electronic music. His breakout track 'Winona' remains a defining moment in the genre's evolution.</t>
  </si>
  <si>
    <t>https://downtherabbithole.nl/programma/dj-boring</t>
  </si>
  <si>
    <t>Koppen jullie die papagrap zelf even in? De sets van DJ BORING zijn verplichte kost voor liefhebbers van positieve vibes en kwaliteitstunes uit de zonnigste hoek van de platenzaak. Kijk hem shinen aan de decks: breed lachend en dansend gaat deze London-based Australiër hulpeloos zijn grooves achterna, want goed voorbeeld in de booth doet goed volgen op de dansvloer. Dat hij daarbij zijn hardware en de roots van dance uiterst serieus neemt, bracht BORING inmiddels al naar gerenommeerde platforms als Boiler Room en DJ Kicks – en primetime zaterdagnacht in Fuzzy Lop.</t>
  </si>
  <si>
    <t>Could you please summarize that paragraph yourself? The sets of DJ BORING are a must for lovers of positive vibes and quality tunes from the sunniest corner of the record store. Watch him shine at the decks: wide smiling and dancing, this London-based Australian helplessly chases his grooves, as a good example in the booth leads to good following on the dance floor. His serious approach to his hardware and the roots of dance has already taken BORING to renowned platforms like Boiler Room and DJ Kicks – and primetime Saturday night at Fuzzy Lop.</t>
  </si>
  <si>
    <t>{"Instagram": "https://www.instagram.com/dj.boring/?hl=en", "Spotify": "https://open.spotify.com/artist/3MkIU5jhXTMK9pYQTRVI6p?si=5t97-FCpQSmzu7x4wFSvmQ", "SoundCloud": "https://soundcloud.com/djboring1990", "Website": "https://www.djboring.com/"}</t>
  </si>
  <si>
    <t>Chinnamasta</t>
  </si>
  <si>
    <t>A bridge builder of Caribbean sounds, Chinnamasta weaves diverse styles into vibrant, danceable sets.</t>
  </si>
  <si>
    <t>Footwork/Dancehall/Breakbeat/Soca/Bubbling</t>
  </si>
  <si>
    <t>[using festival bio due to a lack of publicly available data] She effortlessly hops from footwork to dancehall and from breakbeat to soca and bubbling: Chinnamasta is a bridge builder. The Amsterdam-based DJ is always on the lookout for connections between different Caribbean styles, which she then weaves together into booty-shakeable sets that showcase all corners of this globe. With her profoundly deep playlists, she flies from continent to continent, tracing the roots of the post-colonial African diaspora that form the foundation of The Bizarre's tropical hot playlist this weekend.</t>
  </si>
  <si>
    <t>Chinnamasta's sets are characterized by a seamless blend of Caribbean musical styles, creating an engaging and danceable experience that reflects the global influences of the African diaspora.</t>
  </si>
  <si>
    <t>https://downtherabbithole.nl/programma/chinnamasta</t>
  </si>
  <si>
    <t>Ze hopt soepeltjes van footwork naar dancehall en van breakbeat naar soca en bubbling: Chinnamasta is een bruggetjesbouwer. De Amsterdam-based dj is altijd op zoek naar raakvlakken van verschillende Caribische stijlen, om ze vervolgens in elkaar te vlechten tot booty-shakeable sets die je alle hoeken van deze aardbol laten zien. Zo vliegt ze met haar peilloos diepe platentas van continent naar continent, de roots van de postkoloniale Afrikaanse diaspora achterna die de basis vormen van de tropisch hete playlist van The Bizarre dit weekend.&amp;nbsp;</t>
  </si>
  <si>
    <t>She effortlessly hops from footwork to dancehall and from breakbeat to soca and bubbling: Chinnamasta is a bridge builder. The Amsterdam-based DJ is always on the lookout for connections between different Caribbean styles, which she then weaves together into booty-shakeable sets that showcase all corners of this globe. With her profoundly deep playlists, she flies from continent to continent, tracing the roots of the post-colonial African diaspora that form the foundation of The Bizarre's tropical hot playlist this weekend.</t>
  </si>
  <si>
    <t>{"Instagram": "https://www.instagram.com/chinnamasta__/?hl=en", "SoundCloud": "https://soundcloud.com/chinnamasta13"}</t>
  </si>
  <si>
    <t>Rens &amp; Jaïr</t>
  </si>
  <si>
    <t>Dynamic duo from Amsterdam blending raw beats with forward-thinking lyrics.</t>
  </si>
  <si>
    <t>Hip Hop</t>
  </si>
  <si>
    <t>[using festival bio due to a lack of publicly available data] Hot on the heels of the release of the EP 'Terugkomen Is Niet Als Hier' on Rabbit Hole Friday, Rens and Jaïr will drop their latest verses this Sunday on Bossa Nova. The two Amsterdam residents released their first album in 2022, back when DJ Ome Uncle was still part of the crew, who left earlier this year. You can still believe the hype surrounding their wild jump-around shows – it's best to be on time for this – but with rawer, forward-thinking beats and lyrics, Rens &amp; Jaïr have undeniably embarked on their next chapter.</t>
  </si>
  <si>
    <t>Rens &amp; Jaïr showcase a unique sound characterized by raw, forward-thinking beats and engaging lyrics, making their live performances energetic and captivating.</t>
  </si>
  <si>
    <t>https://downtherabbithole.nl/programma/rens-jair</t>
  </si>
  <si>
    <t>Heet op de hielen van de release van de ep ‘Terugkomen Is Niet Als Hier’ op de Rabbit Hole-vrijdag droppen Rens en Jaïr hun nieuwste verses zondag al op Bossa Nova. De twee Amsterdammers dropten hun eerste album in 2022, toen nog met dj Ome Uncle in de gelederen die begin dit jaar afzwaaide. De hype rond hun lijpe jump-aroundshows kun je nog steeds geloven – beter ben je hier op tijd – maar met rauwere, vooruitdenkende beats en teksten zijn Rens &amp;amp; Jaïr onmiskenbaar aan hun volgende hoofdstuk begonnen.&amp;nbsp;</t>
  </si>
  <si>
    <t>Hot on the heels of the release of the EP 'Terugkomen Is Niet Als Hier' on Rabbit Hole Friday, Rens and Jaïr will drop their latest verses this Sunday on Bossa Nova. The two Amsterdam residents released their first album in 2022, back when DJ Ome Uncle was still part of the crew, who left earlier this year. You can still believe the hype surrounding their wild jump-around shows – it's best to be on time for this – but with rawer, forward-thinking beats and lyrics, Rens &amp; Jaïr have undeniably embarked on their next chapter.</t>
  </si>
  <si>
    <t>{"Instagram": "https://www.instagram.com/rensenjair/", "YouTube": "https://www.youtube.com/channel/UCIFVDDxqCcfAyNgpI6fsV5A", "Spotify": "https://open.spotify.com/artist/6qk91FiZD8n4SeSWZTj9vD?si=5642VTELQMq6ozQo_eSNOQ"}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</si>
</sst>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0" fontId="0" fillId="0" borderId="0" xfId="0" applyAlignment="1">
      <alignment horizontal="left" vertical="top"/>
    </xf>
    <xf numFmtId="0" fontId="0" fillId="0" borderId="10" xfId="0" applyBorder="1" applyAlignment="1">
      <alignment horizontal="left" vertical="top"/>
    </xf>
    <xf numFmtId="0" fontId="0" fillId="0" borderId="0" xfId="0" applyAlignment="1">
      <alignment horizontal="left" vertical="top" wrapText="1"/>
    </xf>
    <xf numFmtId="0" fontId="0" fillId="0" borderId="11" xfId="0" applyBorder="1" applyAlignment="1">
      <alignment horizontal="left" vertical="top"/>
    </xf>
    <xf numFmtId="0" fontId="0" fillId="0" borderId="0" xfId="0" applyAlignment="1">
      <alignment horizontal="center" vertical="top"/>
    </xf>
    <xf numFmtId="0" fontId="16" fillId="0" borderId="0" xfId="0" applyFont="1" applyAlignment="1">
      <alignment horizontal="center" vertical="top"/>
    </xf>
    <xf numFmtId="0" fontId="0" fillId="0" borderId="0" xfId="0" applyNumberFormat="1"/>
    <xf numFmtId="0" fontId="16" fillId="0" borderId="0" xfId="0" applyNumberFormat="1" applyFont="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yyyy/mm/dd"/>
    </dxf>
    <dxf>
      <numFmt numFmtId="0" formatCode="General"/>
    </dxf>
    <dxf>
      <font>
        <b/>
      </font>
      <numFmt numFmtId="0" formatCode="General"/>
      <alignment horizontal="center" vertical="top" textRotation="0" wrapText="0" indent="0" justifyLastLine="0" shrinkToFit="0" readingOrder="0"/>
    </dxf>
    <dxf>
      <numFmt numFmtId="0" formatCode="General"/>
    </dxf>
    <dxf>
      <numFmt numFmtId="0" formatCode="General"/>
    </dxf>
    <dxf>
      <alignment horizontal="left" vertical="top" textRotation="0" wrapText="1" indent="0" justifyLastLine="0" shrinkToFit="0" readingOrder="0"/>
    </dxf>
    <dxf>
      <font>
        <b/>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left" vertical="top" textRotation="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AD3EBD-6099-4F79-9DDF-3E7B2C44B0C6}" autoFormatId="16" applyNumberFormats="0" applyBorderFormats="0" applyFontFormats="0" applyPatternFormats="0" applyAlignmentFormats="0" applyWidthHeightFormats="0">
  <queryTableRefresh nextId="28">
    <queryTableFields count="27">
      <queryTableField id="1" name="Artist" tableColumnId="1"/>
      <queryTableField id="2" name="Tagline" tableColumnId="2"/>
      <queryTableField id="26" dataBound="0" tableColumnId="26"/>
      <queryTableField id="27" dataBound="0" tableColumnId="27"/>
      <queryTableField id="3" name="Date" tableColumnId="3"/>
      <queryTableField id="4" name="Start Time" tableColumnId="4"/>
      <queryTableField id="5" name="End Time" tableColumnId="5"/>
      <queryTableField id="6" name="Stage" tableColumnId="6"/>
      <queryTableField id="7" name="Genre" tableColumnId="7"/>
      <queryTableField id="8" name="Country" tableColumnId="8"/>
      <queryTableField id="9" name="Bio" tableColumnId="9"/>
      <queryTableField id="10" name="Website" tableColumnId="10"/>
      <queryTableField id="11" name="Spotify Link" tableColumnId="11"/>
      <queryTableField id="12" name="YouTube" tableColumnId="12"/>
      <queryTableField id="13" name="Instagram" tableColumnId="13"/>
      <queryTableField id="14" name="AI Summary" tableColumnId="14"/>
      <queryTableField id="15" name="AI Rating" tableColumnId="15"/>
      <queryTableField id="16" name="Number of People in Act" tableColumnId="16"/>
      <queryTableField id="17" name="Gender of Front Person" tableColumnId="17"/>
      <queryTableField id="18" name="Front Person of Color?" tableColumnId="18"/>
      <queryTableField id="19" name="Cancelled" tableColumnId="19"/>
      <queryTableField id="20" name="Festival URL" tableColumnId="20"/>
      <queryTableField id="21" name="Festival Bio (NL)" tableColumnId="21"/>
      <queryTableField id="22" name="Festival Bio (EN)" tableColumnId="22"/>
      <queryTableField id="23" name="Social Links" tableColumnId="23"/>
      <queryTableField id="24" name="Images Scraped" tableColumnId="24"/>
      <queryTableField id="25" name="End Date"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7133D5-3382-4AFC-874A-D9029887D268}" name="_2026" displayName="_2026" ref="A1:AA200" tableType="queryTable" totalsRowShown="0">
  <autoFilter ref="A1:AA200" xr:uid="{8A7133D5-3382-4AFC-874A-D9029887D268}"/>
  <sortState xmlns:xlrd2="http://schemas.microsoft.com/office/spreadsheetml/2017/richdata2" ref="A2:AA200">
    <sortCondition ref="A1:A200"/>
  </sortState>
  <tableColumns count="27">
    <tableColumn id="1" xr3:uid="{A2B7DB25-9F02-44A3-92F5-8AC4303F55C6}" uniqueName="1" name="Artist" queryTableFieldId="1" dataDxfId="24"/>
    <tableColumn id="2" xr3:uid="{09867DA1-6585-4FC0-9022-47F7F8D32952}" uniqueName="2" name="Tagline" queryTableFieldId="2" dataDxfId="23"/>
    <tableColumn id="26" xr3:uid="{AAAA03E8-4844-45C7-9BBF-6D7983E4C3E2}" uniqueName="26" name="My Rating" queryTableFieldId="26" dataDxfId="22">
      <calculatedColumnFormula>_xlfn.XLOOKUP(_2026[[#This Row],[Artist]], Table3[Artist], Table3[Rating], "",)</calculatedColumnFormula>
    </tableColumn>
    <tableColumn id="27" xr3:uid="{7FD16191-CBB6-4C51-B380-596EE8B18564}" uniqueName="27" name="My Notes" queryTableFieldId="27" dataDxfId="21">
      <calculatedColumnFormula>_xlfn.XLOOKUP(_2026[[#This Row],[Artist]], Table3[Artist], Table3[Notes], "",)</calculatedColumnFormula>
    </tableColumn>
    <tableColumn id="3" xr3:uid="{2F41D7EA-BB80-4CC8-96C6-1757C7550AC2}" uniqueName="3" name="Date" queryTableFieldId="3" dataDxfId="20"/>
    <tableColumn id="4" xr3:uid="{64758273-17A5-4E18-8EE4-8BD792E59740}" uniqueName="4" name="Start Time" queryTableFieldId="4" dataDxfId="19"/>
    <tableColumn id="5" xr3:uid="{6E39D9CA-BC43-49C8-86B9-D5F3668B9270}" uniqueName="5" name="End Time" queryTableFieldId="5" dataDxfId="18"/>
    <tableColumn id="6" xr3:uid="{10217C73-CCAB-431B-ADE6-69180AF2092B}" uniqueName="6" name="Stage" queryTableFieldId="6" dataDxfId="17"/>
    <tableColumn id="7" xr3:uid="{DCCE9C26-B2C7-47DE-A4F3-548049BC5E26}" uniqueName="7" name="Genre" queryTableFieldId="7" dataDxfId="16"/>
    <tableColumn id="8" xr3:uid="{16964587-597B-47C9-8D2A-B727927D951C}" uniqueName="8" name="Country" queryTableFieldId="8" dataDxfId="15"/>
    <tableColumn id="9" xr3:uid="{87AD20CC-C89D-48ED-969B-B7B55A658AA8}" uniqueName="9" name="Bio" queryTableFieldId="9" dataDxfId="14"/>
    <tableColumn id="10" xr3:uid="{CC8ABBB4-81D8-4DD5-8B6A-517E9A2D92E9}" uniqueName="10" name="Website" queryTableFieldId="10" dataDxfId="13"/>
    <tableColumn id="11" xr3:uid="{24F5BAAE-8BB9-4554-9DB3-08F6ECE1E520}" uniqueName="11" name="Spotify Link" queryTableFieldId="11" dataDxfId="12"/>
    <tableColumn id="12" xr3:uid="{ADC6DA56-7F1F-4442-BFA3-95416B64ADA4}" uniqueName="12" name="YouTube" queryTableFieldId="12" dataDxfId="11"/>
    <tableColumn id="13" xr3:uid="{EC7973AC-AB01-4073-B397-6951A09D1718}" uniqueName="13" name="Instagram" queryTableFieldId="13" dataDxfId="10"/>
    <tableColumn id="14" xr3:uid="{8A7F6CC4-E07B-4165-9971-874EE42A457A}" uniqueName="14" name="AI Summary" queryTableFieldId="14" dataDxfId="9"/>
    <tableColumn id="15" xr3:uid="{BAF90AD5-627D-47AA-9A0B-1CAC8186F1E8}" uniqueName="15" name="AI Rating" queryTableFieldId="15"/>
    <tableColumn id="16" xr3:uid="{A04D0901-2B07-48B8-B245-1F4E2450AA60}" uniqueName="16" name="Number of People in Act" queryTableFieldId="16"/>
    <tableColumn id="17" xr3:uid="{282AFD6B-9962-4394-9976-5D92894BC5BD}" uniqueName="17" name="Gender of Front Person" queryTableFieldId="17" dataDxfId="8"/>
    <tableColumn id="18" xr3:uid="{528D35E3-81A8-456A-A5B6-B55CAAB009AC}" uniqueName="18" name="Front Person of Color?" queryTableFieldId="18" dataDxfId="7"/>
    <tableColumn id="19" xr3:uid="{299263B9-E6BA-452D-ABB8-549A79A2BE9B}" uniqueName="19" name="Cancelled" queryTableFieldId="19" dataDxfId="6"/>
    <tableColumn id="20" xr3:uid="{26E94EE9-0FD9-4A7A-B12F-81A91090DDFD}" uniqueName="20" name="Festival URL" queryTableFieldId="20" dataDxfId="5"/>
    <tableColumn id="21" xr3:uid="{25F4F4C9-5D03-455A-A2BB-7E207F554CD9}" uniqueName="21" name="Festival Bio (NL)" queryTableFieldId="21" dataDxfId="4"/>
    <tableColumn id="22" xr3:uid="{AFBB0A8A-FB1D-4606-A672-FBE0CE671A53}" uniqueName="22" name="Festival Bio (EN)" queryTableFieldId="22" dataDxfId="3"/>
    <tableColumn id="23" xr3:uid="{184FBC33-0427-4C3E-AEE8-7DFB9A7D5A8E}" uniqueName="23" name="Social Links" queryTableFieldId="23" dataDxfId="2"/>
    <tableColumn id="24" xr3:uid="{3B48047C-48EB-468D-9B3F-3FB765EEA6EE}" uniqueName="24" name="Images Scraped" queryTableFieldId="24" dataDxfId="1"/>
    <tableColumn id="25" xr3:uid="{4525C30B-1A0D-4111-83AC-8785B6C17334}" uniqueName="25" name="End Date" queryTableFieldId="25"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D80D8F-FDE4-4AB5-88A0-A6F41FE8EB70}" name="Table3" displayName="Table3" ref="A1:C195" totalsRowShown="0" headerRowDxfId="29" dataDxfId="28">
  <autoFilter ref="A1:C195" xr:uid="{08D80D8F-FDE4-4AB5-88A0-A6F41FE8EB70}"/>
  <tableColumns count="3">
    <tableColumn id="1" xr3:uid="{6573471A-85CD-4339-B6A7-598BAB0819C4}" name="Artist" dataDxfId="27"/>
    <tableColumn id="2" xr3:uid="{984FBD7B-8133-4ECF-BFF1-D03697609081}" name="Rating" dataDxfId="26"/>
    <tableColumn id="3" xr3:uid="{133CC101-D40F-4587-AE0C-7BABC3A349E2}" name="Notes" dataDxfId="2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2F53A-8014-434E-9E2C-4F7378C85839}">
  <sheetPr codeName="Sheet1"/>
  <dimension ref="A1:AA200"/>
  <sheetViews>
    <sheetView tabSelected="1" topLeftCell="W54" workbookViewId="0">
      <selection activeCell="Y62" sqref="Y62"/>
    </sheetView>
  </sheetViews>
  <sheetFormatPr defaultRowHeight="15" x14ac:dyDescent="0.25"/>
  <cols>
    <col min="1" max="1" width="49.85546875" bestFit="1" customWidth="1"/>
    <col min="2" max="2" width="81.140625" bestFit="1" customWidth="1"/>
    <col min="3" max="3" width="14.28515625" style="8" bestFit="1" customWidth="1"/>
    <col min="4" max="4" width="81.140625" bestFit="1" customWidth="1"/>
    <col min="5" max="5" width="10.42578125" bestFit="1" customWidth="1"/>
    <col min="6" max="6" width="12.42578125" bestFit="1" customWidth="1"/>
    <col min="7" max="7" width="11.5703125" bestFit="1" customWidth="1"/>
    <col min="8" max="8" width="20" bestFit="1" customWidth="1"/>
    <col min="9" max="9" width="81.140625" bestFit="1" customWidth="1"/>
    <col min="10" max="10" width="20.42578125" bestFit="1" customWidth="1"/>
    <col min="11" max="11" width="81.140625" bestFit="1" customWidth="1"/>
    <col min="12" max="12" width="68" bestFit="1" customWidth="1"/>
    <col min="13" max="13" width="57.140625" bestFit="1" customWidth="1"/>
    <col min="14" max="14" width="11.140625" bestFit="1" customWidth="1"/>
    <col min="15" max="15" width="12.140625" bestFit="1" customWidth="1"/>
    <col min="16" max="16" width="81.140625" bestFit="1" customWidth="1"/>
    <col min="17" max="17" width="11.140625" bestFit="1" customWidth="1"/>
    <col min="18" max="18" width="25.42578125" bestFit="1" customWidth="1"/>
    <col min="19" max="19" width="24.5703125" bestFit="1" customWidth="1"/>
    <col min="20" max="20" width="23.85546875" bestFit="1" customWidth="1"/>
    <col min="21" max="21" width="12.42578125" bestFit="1" customWidth="1"/>
    <col min="22" max="25" width="81.140625" bestFit="1" customWidth="1"/>
    <col min="26" max="26" width="17.5703125" bestFit="1" customWidth="1"/>
    <col min="27" max="27" width="11.42578125" bestFit="1" customWidth="1"/>
  </cols>
  <sheetData>
    <row r="1" spans="1:27" x14ac:dyDescent="0.25">
      <c r="A1" t="s">
        <v>0</v>
      </c>
      <c r="B1" t="s">
        <v>1</v>
      </c>
      <c r="C1" s="8" t="s">
        <v>1777</v>
      </c>
      <c r="D1" t="s">
        <v>1778</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row>
    <row r="2" spans="1:27" x14ac:dyDescent="0.25">
      <c r="A2" s="9" t="s">
        <v>1444</v>
      </c>
      <c r="B2" s="9" t="s">
        <v>273</v>
      </c>
      <c r="C2" s="10">
        <f>_xlfn.XLOOKUP(_2026[[#This Row],[Artist]], Table3[Artist], Table3[Rating], "",)</f>
        <v>7</v>
      </c>
      <c r="D2" s="9" t="str">
        <f>_xlfn.XLOOKUP(_2026[[#This Row],[Artist]], Table3[Artist], Table3[Notes], "",)</f>
        <v>DJ. "high-energy sets blending heavy metal, techno, and bass music"</v>
      </c>
      <c r="E2" s="1">
        <v>46207</v>
      </c>
      <c r="F2" s="2">
        <v>0.92708333333333337</v>
      </c>
      <c r="G2" s="2">
        <v>0.97569444444444442</v>
      </c>
      <c r="H2" s="9" t="s">
        <v>100</v>
      </c>
      <c r="I2" s="9" t="s">
        <v>274</v>
      </c>
      <c r="J2" s="9" t="s">
        <v>275</v>
      </c>
      <c r="K2" s="9" t="s">
        <v>1445</v>
      </c>
      <c r="L2" s="9" t="s">
        <v>1395</v>
      </c>
      <c r="M2" s="9" t="s">
        <v>276</v>
      </c>
      <c r="N2" s="9" t="s">
        <v>1395</v>
      </c>
      <c r="O2" s="9" t="s">
        <v>1395</v>
      </c>
      <c r="P2" s="9" t="s">
        <v>1446</v>
      </c>
      <c r="Q2">
        <v>6</v>
      </c>
      <c r="S2" s="9" t="s">
        <v>1395</v>
      </c>
      <c r="T2" s="9" t="s">
        <v>1395</v>
      </c>
      <c r="U2" s="9" t="s">
        <v>1395</v>
      </c>
      <c r="V2" s="9" t="s">
        <v>277</v>
      </c>
      <c r="W2" s="9" t="s">
        <v>1447</v>
      </c>
      <c r="X2" s="9" t="s">
        <v>1448</v>
      </c>
      <c r="Y2" s="9" t="s">
        <v>278</v>
      </c>
      <c r="Z2" s="9" t="s">
        <v>38</v>
      </c>
      <c r="AA2" s="1">
        <v>46207</v>
      </c>
    </row>
    <row r="3" spans="1:27" x14ac:dyDescent="0.25">
      <c r="A3" s="9" t="s">
        <v>1228</v>
      </c>
      <c r="B3" s="9" t="s">
        <v>1229</v>
      </c>
      <c r="C3" s="10">
        <f>_xlfn.XLOOKUP(_2026[[#This Row],[Artist]], Table3[Artist], Table3[Rating], "",)</f>
        <v>7</v>
      </c>
      <c r="D3" s="9" t="str">
        <f>_xlfn.XLOOKUP(_2026[[#This Row],[Artist]], Table3[Artist], Table3[Notes], "",)</f>
        <v>Vijf vrouwen - strijkkwartet en saxofoon. Modern piep-knor klassiek.</v>
      </c>
      <c r="E3" s="1">
        <v>46206</v>
      </c>
      <c r="F3" s="2">
        <v>0.4375</v>
      </c>
      <c r="G3" s="2">
        <v>0.46875</v>
      </c>
      <c r="H3" s="9" t="s">
        <v>408</v>
      </c>
      <c r="I3" s="9" t="s">
        <v>1395</v>
      </c>
      <c r="J3" s="9" t="s">
        <v>1395</v>
      </c>
      <c r="K3" s="9" t="s">
        <v>1713</v>
      </c>
      <c r="L3" s="9" t="s">
        <v>1395</v>
      </c>
      <c r="M3" s="9" t="s">
        <v>1230</v>
      </c>
      <c r="N3" s="9" t="s">
        <v>1395</v>
      </c>
      <c r="O3" s="9" t="s">
        <v>1395</v>
      </c>
      <c r="P3" s="9" t="s">
        <v>1395</v>
      </c>
      <c r="R3">
        <v>4</v>
      </c>
      <c r="S3" s="9" t="s">
        <v>1395</v>
      </c>
      <c r="T3" s="9" t="s">
        <v>1395</v>
      </c>
      <c r="U3" s="9" t="s">
        <v>1395</v>
      </c>
      <c r="V3" s="9" t="s">
        <v>1231</v>
      </c>
      <c r="W3" s="9" t="s">
        <v>1714</v>
      </c>
      <c r="X3" s="9" t="s">
        <v>1715</v>
      </c>
      <c r="Y3" s="9" t="s">
        <v>1232</v>
      </c>
      <c r="Z3" s="9" t="s">
        <v>38</v>
      </c>
      <c r="AA3" s="1">
        <v>46206</v>
      </c>
    </row>
    <row r="4" spans="1:27" x14ac:dyDescent="0.25">
      <c r="A4" s="9" t="s">
        <v>741</v>
      </c>
      <c r="B4" s="9" t="s">
        <v>742</v>
      </c>
      <c r="C4" s="10">
        <f>_xlfn.XLOOKUP(_2026[[#This Row],[Artist]], Table3[Artist], Table3[Rating], "",)</f>
        <v>0</v>
      </c>
      <c r="D4" s="9">
        <f>_xlfn.XLOOKUP(_2026[[#This Row],[Artist]], Table3[Artist], Table3[Notes], "",)</f>
        <v>0</v>
      </c>
      <c r="E4" s="1">
        <v>46208</v>
      </c>
      <c r="F4" s="2">
        <v>0.77083333333333337</v>
      </c>
      <c r="G4" s="2">
        <v>0.83333333333333337</v>
      </c>
      <c r="H4" s="9" t="s">
        <v>743</v>
      </c>
      <c r="I4" s="9" t="s">
        <v>744</v>
      </c>
      <c r="J4" s="9" t="s">
        <v>29</v>
      </c>
      <c r="K4" s="9" t="s">
        <v>745</v>
      </c>
      <c r="L4" s="9" t="s">
        <v>1395</v>
      </c>
      <c r="M4" s="9" t="s">
        <v>746</v>
      </c>
      <c r="N4" s="9" t="s">
        <v>1395</v>
      </c>
      <c r="O4" s="9" t="s">
        <v>1395</v>
      </c>
      <c r="P4" s="9" t="s">
        <v>747</v>
      </c>
      <c r="Q4">
        <v>7</v>
      </c>
      <c r="S4" s="9" t="s">
        <v>67</v>
      </c>
      <c r="T4" s="9" t="s">
        <v>38</v>
      </c>
      <c r="U4" s="9" t="s">
        <v>1395</v>
      </c>
      <c r="V4" s="9" t="s">
        <v>748</v>
      </c>
      <c r="W4" s="9" t="s">
        <v>1543</v>
      </c>
      <c r="X4" s="9" t="s">
        <v>1544</v>
      </c>
      <c r="Y4" s="9" t="s">
        <v>749</v>
      </c>
      <c r="Z4" s="9" t="s">
        <v>38</v>
      </c>
      <c r="AA4" s="1">
        <v>46208</v>
      </c>
    </row>
    <row r="5" spans="1:27" x14ac:dyDescent="0.25">
      <c r="A5" s="9" t="s">
        <v>1258</v>
      </c>
      <c r="B5" s="9" t="s">
        <v>1259</v>
      </c>
      <c r="C5" s="10">
        <f>_xlfn.XLOOKUP(_2026[[#This Row],[Artist]], Table3[Artist], Table3[Rating], "",)</f>
        <v>0</v>
      </c>
      <c r="D5" s="9">
        <f>_xlfn.XLOOKUP(_2026[[#This Row],[Artist]], Table3[Artist], Table3[Notes], "",)</f>
        <v>0</v>
      </c>
      <c r="E5" s="1">
        <v>46207</v>
      </c>
      <c r="F5" s="2">
        <v>0.91666666666666663</v>
      </c>
      <c r="G5" s="2">
        <v>0.94791666666666663</v>
      </c>
      <c r="H5" s="9" t="s">
        <v>1843</v>
      </c>
      <c r="I5" s="9" t="s">
        <v>1260</v>
      </c>
      <c r="J5" s="9" t="s">
        <v>162</v>
      </c>
      <c r="K5" s="9" t="s">
        <v>1730</v>
      </c>
      <c r="L5" s="9" t="s">
        <v>1395</v>
      </c>
      <c r="M5" s="9" t="s">
        <v>1261</v>
      </c>
      <c r="N5" s="9" t="s">
        <v>1395</v>
      </c>
      <c r="O5" s="9" t="s">
        <v>1395</v>
      </c>
      <c r="P5" s="9" t="s">
        <v>1395</v>
      </c>
      <c r="S5" s="9" t="s">
        <v>34</v>
      </c>
      <c r="T5" s="9" t="s">
        <v>1395</v>
      </c>
      <c r="U5" s="9" t="s">
        <v>1395</v>
      </c>
      <c r="V5" s="9" t="s">
        <v>1262</v>
      </c>
      <c r="W5" s="9" t="s">
        <v>1731</v>
      </c>
      <c r="X5" s="9" t="s">
        <v>1732</v>
      </c>
      <c r="Y5" s="9" t="s">
        <v>1263</v>
      </c>
      <c r="Z5" s="9" t="s">
        <v>38</v>
      </c>
      <c r="AA5" s="1">
        <v>46207</v>
      </c>
    </row>
    <row r="6" spans="1:27" x14ac:dyDescent="0.25">
      <c r="A6" s="9" t="s">
        <v>98</v>
      </c>
      <c r="B6" s="9" t="s">
        <v>99</v>
      </c>
      <c r="C6" s="10">
        <f>_xlfn.XLOOKUP(_2026[[#This Row],[Artist]], Table3[Artist], Table3[Rating], "",)</f>
        <v>8</v>
      </c>
      <c r="D6" s="9" t="str">
        <f>_xlfn.XLOOKUP(_2026[[#This Row],[Artist]], Table3[Artist], Table3[Notes], "",)</f>
        <v>Witte mannen rock-muziek, maar wel spannend. Mogwai-achtige builds.</v>
      </c>
      <c r="E6" s="1">
        <v>46207</v>
      </c>
      <c r="F6" s="2">
        <v>0.59375</v>
      </c>
      <c r="G6" s="2">
        <v>0.63541666666666663</v>
      </c>
      <c r="H6" s="9" t="s">
        <v>100</v>
      </c>
      <c r="I6" s="9" t="s">
        <v>101</v>
      </c>
      <c r="J6" s="9" t="s">
        <v>62</v>
      </c>
      <c r="K6" s="9" t="s">
        <v>102</v>
      </c>
      <c r="L6" s="9" t="s">
        <v>103</v>
      </c>
      <c r="M6" s="9" t="s">
        <v>104</v>
      </c>
      <c r="N6" s="9" t="s">
        <v>1395</v>
      </c>
      <c r="O6" s="9" t="s">
        <v>1395</v>
      </c>
      <c r="P6" s="9" t="s">
        <v>105</v>
      </c>
      <c r="Q6">
        <v>7</v>
      </c>
      <c r="R6">
        <v>4</v>
      </c>
      <c r="S6" s="9" t="s">
        <v>67</v>
      </c>
      <c r="T6" s="9" t="s">
        <v>35</v>
      </c>
      <c r="U6" s="9" t="s">
        <v>1395</v>
      </c>
      <c r="V6" s="9" t="s">
        <v>106</v>
      </c>
      <c r="W6" s="9" t="s">
        <v>1408</v>
      </c>
      <c r="X6" s="9" t="s">
        <v>107</v>
      </c>
      <c r="Y6" s="9" t="s">
        <v>108</v>
      </c>
      <c r="Z6" s="9" t="s">
        <v>38</v>
      </c>
      <c r="AA6" s="1">
        <v>46207</v>
      </c>
    </row>
    <row r="7" spans="1:27" x14ac:dyDescent="0.25">
      <c r="A7" s="9" t="s">
        <v>545</v>
      </c>
      <c r="B7" s="9" t="s">
        <v>546</v>
      </c>
      <c r="C7" s="10">
        <f>_xlfn.XLOOKUP(_2026[[#This Row],[Artist]], Table3[Artist], Table3[Rating], "",)</f>
        <v>0</v>
      </c>
      <c r="D7" s="9">
        <f>_xlfn.XLOOKUP(_2026[[#This Row],[Artist]], Table3[Artist], Table3[Notes], "",)</f>
        <v>0</v>
      </c>
      <c r="E7" s="1">
        <v>46207</v>
      </c>
      <c r="F7" s="2">
        <v>2.0833333333333332E-2</v>
      </c>
      <c r="G7" s="2">
        <v>0.10416666666666667</v>
      </c>
      <c r="H7" s="9" t="s">
        <v>547</v>
      </c>
      <c r="I7" s="9" t="s">
        <v>419</v>
      </c>
      <c r="J7" s="9" t="s">
        <v>29</v>
      </c>
      <c r="K7" s="9" t="s">
        <v>548</v>
      </c>
      <c r="L7" s="9" t="s">
        <v>1395</v>
      </c>
      <c r="M7" s="9" t="s">
        <v>549</v>
      </c>
      <c r="N7" s="9" t="s">
        <v>1395</v>
      </c>
      <c r="O7" s="9" t="s">
        <v>1395</v>
      </c>
      <c r="P7" s="9" t="s">
        <v>550</v>
      </c>
      <c r="Q7">
        <v>6</v>
      </c>
      <c r="R7">
        <v>2</v>
      </c>
      <c r="S7" s="9" t="s">
        <v>34</v>
      </c>
      <c r="T7" s="9" t="s">
        <v>38</v>
      </c>
      <c r="U7" s="9" t="s">
        <v>1395</v>
      </c>
      <c r="V7" s="9" t="s">
        <v>551</v>
      </c>
      <c r="W7" s="9" t="s">
        <v>1493</v>
      </c>
      <c r="X7" s="9" t="s">
        <v>552</v>
      </c>
      <c r="Y7" s="9" t="s">
        <v>553</v>
      </c>
      <c r="Z7" s="9" t="s">
        <v>38</v>
      </c>
      <c r="AA7" s="1">
        <v>46207</v>
      </c>
    </row>
    <row r="8" spans="1:27" x14ac:dyDescent="0.25">
      <c r="A8" s="9" t="s">
        <v>109</v>
      </c>
      <c r="B8" s="9" t="s">
        <v>110</v>
      </c>
      <c r="C8" s="10">
        <f>_xlfn.XLOOKUP(_2026[[#This Row],[Artist]], Table3[Artist], Table3[Rating], "",)</f>
        <v>0</v>
      </c>
      <c r="D8" s="9">
        <f>_xlfn.XLOOKUP(_2026[[#This Row],[Artist]], Table3[Artist], Table3[Notes], "",)</f>
        <v>0</v>
      </c>
      <c r="E8" s="1">
        <v>46206</v>
      </c>
      <c r="F8" s="2">
        <v>0.9375</v>
      </c>
      <c r="G8" s="2">
        <v>0.97916666666666663</v>
      </c>
      <c r="H8" s="9" t="s">
        <v>111</v>
      </c>
      <c r="I8" s="9" t="s">
        <v>112</v>
      </c>
      <c r="J8" s="9" t="s">
        <v>113</v>
      </c>
      <c r="K8" s="9" t="s">
        <v>114</v>
      </c>
      <c r="L8" s="9" t="s">
        <v>115</v>
      </c>
      <c r="M8" s="9" t="s">
        <v>116</v>
      </c>
      <c r="N8" s="9" t="s">
        <v>1395</v>
      </c>
      <c r="O8" s="9" t="s">
        <v>1395</v>
      </c>
      <c r="P8" s="9" t="s">
        <v>117</v>
      </c>
      <c r="Q8">
        <v>8</v>
      </c>
      <c r="S8" s="9" t="s">
        <v>67</v>
      </c>
      <c r="T8" s="9" t="s">
        <v>35</v>
      </c>
      <c r="U8" s="9" t="s">
        <v>1395</v>
      </c>
      <c r="V8" s="9" t="s">
        <v>118</v>
      </c>
      <c r="W8" s="9" t="s">
        <v>1409</v>
      </c>
      <c r="X8" s="9" t="s">
        <v>119</v>
      </c>
      <c r="Y8" s="9" t="s">
        <v>120</v>
      </c>
      <c r="Z8" s="9" t="s">
        <v>38</v>
      </c>
      <c r="AA8" s="1">
        <v>46206</v>
      </c>
    </row>
    <row r="9" spans="1:27" x14ac:dyDescent="0.25">
      <c r="A9" s="9" t="s">
        <v>288</v>
      </c>
      <c r="B9" s="9" t="s">
        <v>289</v>
      </c>
      <c r="C9" s="10">
        <f>_xlfn.XLOOKUP(_2026[[#This Row],[Artist]], Table3[Artist], Table3[Rating], "",)</f>
        <v>8</v>
      </c>
      <c r="D9" s="9" t="str">
        <f>_xlfn.XLOOKUP(_2026[[#This Row],[Artist]], Table3[Artist], Table3[Notes], "",)</f>
        <v>Met een spectaculaire vrouw op de bas. Gezien op Footprints 2024.</v>
      </c>
      <c r="E9" s="1">
        <v>46207</v>
      </c>
      <c r="F9" s="2">
        <v>0.51041666666666663</v>
      </c>
      <c r="G9" s="2">
        <v>0.55208333333333337</v>
      </c>
      <c r="H9" s="9" t="s">
        <v>100</v>
      </c>
      <c r="I9" s="9" t="s">
        <v>290</v>
      </c>
      <c r="J9" s="9" t="s">
        <v>162</v>
      </c>
      <c r="K9" s="9" t="s">
        <v>291</v>
      </c>
      <c r="L9" s="9" t="s">
        <v>292</v>
      </c>
      <c r="M9" s="9" t="s">
        <v>293</v>
      </c>
      <c r="N9" s="9" t="s">
        <v>1395</v>
      </c>
      <c r="O9" s="9" t="s">
        <v>1395</v>
      </c>
      <c r="P9" s="9" t="s">
        <v>294</v>
      </c>
      <c r="Q9">
        <v>7</v>
      </c>
      <c r="S9" s="9" t="s">
        <v>67</v>
      </c>
      <c r="T9" s="9" t="s">
        <v>35</v>
      </c>
      <c r="U9" s="9" t="s">
        <v>1395</v>
      </c>
      <c r="V9" s="9" t="s">
        <v>295</v>
      </c>
      <c r="W9" s="9" t="s">
        <v>1451</v>
      </c>
      <c r="X9" s="9" t="s">
        <v>1452</v>
      </c>
      <c r="Y9" s="9" t="s">
        <v>296</v>
      </c>
      <c r="Z9" s="9" t="s">
        <v>38</v>
      </c>
      <c r="AA9" s="1">
        <v>46207</v>
      </c>
    </row>
    <row r="10" spans="1:27" x14ac:dyDescent="0.25">
      <c r="A10" s="9" t="s">
        <v>750</v>
      </c>
      <c r="B10" s="9" t="s">
        <v>751</v>
      </c>
      <c r="C10" s="10">
        <f>_xlfn.XLOOKUP(_2026[[#This Row],[Artist]], Table3[Artist], Table3[Rating], "",)</f>
        <v>0</v>
      </c>
      <c r="D10" s="9">
        <f>_xlfn.XLOOKUP(_2026[[#This Row],[Artist]], Table3[Artist], Table3[Notes], "",)</f>
        <v>0</v>
      </c>
      <c r="E10" s="1">
        <v>46208</v>
      </c>
      <c r="F10" s="2">
        <v>0.64583333333333337</v>
      </c>
      <c r="G10" s="2">
        <v>0.70833333333333337</v>
      </c>
      <c r="H10" s="9" t="s">
        <v>743</v>
      </c>
      <c r="I10" s="9" t="s">
        <v>752</v>
      </c>
      <c r="J10" s="9" t="s">
        <v>162</v>
      </c>
      <c r="K10" s="9" t="s">
        <v>753</v>
      </c>
      <c r="L10" s="9" t="s">
        <v>1395</v>
      </c>
      <c r="M10" s="9" t="s">
        <v>293</v>
      </c>
      <c r="N10" s="9" t="s">
        <v>1395</v>
      </c>
      <c r="O10" s="9" t="s">
        <v>1395</v>
      </c>
      <c r="P10" s="9" t="s">
        <v>754</v>
      </c>
      <c r="Q10">
        <v>7</v>
      </c>
      <c r="S10" s="9" t="s">
        <v>67</v>
      </c>
      <c r="T10" s="9" t="s">
        <v>35</v>
      </c>
      <c r="U10" s="9" t="s">
        <v>1395</v>
      </c>
      <c r="V10" s="9" t="s">
        <v>755</v>
      </c>
      <c r="W10" s="9" t="s">
        <v>1545</v>
      </c>
      <c r="X10" s="9" t="s">
        <v>1546</v>
      </c>
      <c r="Y10" s="9" t="s">
        <v>296</v>
      </c>
      <c r="Z10" s="9" t="s">
        <v>38</v>
      </c>
      <c r="AA10" s="1">
        <v>46208</v>
      </c>
    </row>
    <row r="11" spans="1:27" x14ac:dyDescent="0.25">
      <c r="A11" s="9" t="s">
        <v>554</v>
      </c>
      <c r="B11" s="9" t="s">
        <v>555</v>
      </c>
      <c r="C11" s="10">
        <f>_xlfn.XLOOKUP(_2026[[#This Row],[Artist]], Table3[Artist], Table3[Rating], "",)</f>
        <v>0</v>
      </c>
      <c r="D11" s="9">
        <f>_xlfn.XLOOKUP(_2026[[#This Row],[Artist]], Table3[Artist], Table3[Notes], "",)</f>
        <v>0</v>
      </c>
      <c r="E11" s="1">
        <v>46206</v>
      </c>
      <c r="F11" s="2">
        <v>0.70833333333333337</v>
      </c>
      <c r="G11" s="2">
        <v>0.79166666666666663</v>
      </c>
      <c r="H11" s="9" t="s">
        <v>547</v>
      </c>
      <c r="I11" s="9" t="s">
        <v>556</v>
      </c>
      <c r="J11" s="9" t="s">
        <v>62</v>
      </c>
      <c r="K11" s="9" t="s">
        <v>557</v>
      </c>
      <c r="L11" s="9" t="s">
        <v>1395</v>
      </c>
      <c r="M11" s="9" t="s">
        <v>558</v>
      </c>
      <c r="N11" s="9" t="s">
        <v>1395</v>
      </c>
      <c r="O11" s="9" t="s">
        <v>1395</v>
      </c>
      <c r="P11" s="9" t="s">
        <v>559</v>
      </c>
      <c r="Q11">
        <v>7</v>
      </c>
      <c r="S11" s="9" t="s">
        <v>34</v>
      </c>
      <c r="T11" s="9" t="s">
        <v>38</v>
      </c>
      <c r="U11" s="9" t="s">
        <v>1395</v>
      </c>
      <c r="V11" s="9" t="s">
        <v>560</v>
      </c>
      <c r="W11" s="9" t="s">
        <v>1494</v>
      </c>
      <c r="X11" s="9" t="s">
        <v>1495</v>
      </c>
      <c r="Y11" s="9" t="s">
        <v>561</v>
      </c>
      <c r="Z11" s="9" t="s">
        <v>38</v>
      </c>
      <c r="AA11" s="1">
        <v>46206</v>
      </c>
    </row>
    <row r="12" spans="1:27" x14ac:dyDescent="0.25">
      <c r="A12" s="9" t="s">
        <v>297</v>
      </c>
      <c r="B12" s="9" t="s">
        <v>298</v>
      </c>
      <c r="C12" s="10">
        <f>_xlfn.XLOOKUP(_2026[[#This Row],[Artist]], Table3[Artist], Table3[Rating], "",)</f>
        <v>0</v>
      </c>
      <c r="D12" s="9">
        <f>_xlfn.XLOOKUP(_2026[[#This Row],[Artist]], Table3[Artist], Table3[Notes], "",)</f>
        <v>0</v>
      </c>
      <c r="E12" s="1">
        <v>46207</v>
      </c>
      <c r="F12" s="2">
        <v>8.3333333333333329E-2</v>
      </c>
      <c r="G12" s="2">
        <v>0.1875</v>
      </c>
      <c r="H12" s="9" t="s">
        <v>111</v>
      </c>
      <c r="I12" s="9" t="s">
        <v>299</v>
      </c>
      <c r="J12" s="9" t="s">
        <v>62</v>
      </c>
      <c r="K12" s="9" t="s">
        <v>300</v>
      </c>
      <c r="L12" s="9" t="s">
        <v>301</v>
      </c>
      <c r="M12" s="9" t="s">
        <v>302</v>
      </c>
      <c r="N12" s="9" t="s">
        <v>1395</v>
      </c>
      <c r="O12" s="9" t="s">
        <v>1395</v>
      </c>
      <c r="P12" s="9" t="s">
        <v>303</v>
      </c>
      <c r="Q12">
        <v>8</v>
      </c>
      <c r="S12" s="9" t="s">
        <v>34</v>
      </c>
      <c r="T12" s="9" t="s">
        <v>35</v>
      </c>
      <c r="U12" s="9" t="s">
        <v>1395</v>
      </c>
      <c r="V12" s="9" t="s">
        <v>304</v>
      </c>
      <c r="W12" s="9" t="s">
        <v>305</v>
      </c>
      <c r="X12" s="9" t="s">
        <v>306</v>
      </c>
      <c r="Y12" s="9" t="s">
        <v>307</v>
      </c>
      <c r="Z12" s="9" t="s">
        <v>38</v>
      </c>
      <c r="AA12" s="1">
        <v>46207</v>
      </c>
    </row>
    <row r="13" spans="1:27" x14ac:dyDescent="0.25">
      <c r="A13" s="9" t="s">
        <v>756</v>
      </c>
      <c r="B13" s="9" t="s">
        <v>757</v>
      </c>
      <c r="C13" s="10">
        <f>_xlfn.XLOOKUP(_2026[[#This Row],[Artist]], Table3[Artist], Table3[Rating], "",)</f>
        <v>0</v>
      </c>
      <c r="D13" s="9">
        <f>_xlfn.XLOOKUP(_2026[[#This Row],[Artist]], Table3[Artist], Table3[Notes], "",)</f>
        <v>0</v>
      </c>
      <c r="E13" s="1">
        <v>46208</v>
      </c>
      <c r="F13" s="2">
        <v>0.9375</v>
      </c>
      <c r="G13" s="2">
        <v>0</v>
      </c>
      <c r="H13" s="9" t="s">
        <v>743</v>
      </c>
      <c r="I13" s="9" t="s">
        <v>758</v>
      </c>
      <c r="J13" s="9" t="s">
        <v>759</v>
      </c>
      <c r="K13" s="9" t="s">
        <v>760</v>
      </c>
      <c r="L13" s="9" t="s">
        <v>1395</v>
      </c>
      <c r="M13" s="9" t="s">
        <v>761</v>
      </c>
      <c r="N13" s="9" t="s">
        <v>1395</v>
      </c>
      <c r="O13" s="9" t="s">
        <v>1395</v>
      </c>
      <c r="P13" s="9" t="s">
        <v>762</v>
      </c>
      <c r="Q13">
        <v>7</v>
      </c>
      <c r="S13" s="9" t="s">
        <v>34</v>
      </c>
      <c r="T13" s="9" t="s">
        <v>38</v>
      </c>
      <c r="U13" s="9" t="s">
        <v>1395</v>
      </c>
      <c r="V13" s="9" t="s">
        <v>763</v>
      </c>
      <c r="W13" s="9" t="s">
        <v>1547</v>
      </c>
      <c r="X13" s="9" t="s">
        <v>1548</v>
      </c>
      <c r="Y13" s="9" t="s">
        <v>764</v>
      </c>
      <c r="Z13" s="9" t="s">
        <v>38</v>
      </c>
      <c r="AA13" s="1">
        <v>46209</v>
      </c>
    </row>
    <row r="14" spans="1:27" x14ac:dyDescent="0.25">
      <c r="A14" s="9" t="s">
        <v>308</v>
      </c>
      <c r="B14" s="9" t="s">
        <v>309</v>
      </c>
      <c r="C14" s="10">
        <f>_xlfn.XLOOKUP(_2026[[#This Row],[Artist]], Table3[Artist], Table3[Rating], "",)</f>
        <v>0</v>
      </c>
      <c r="D14" s="9">
        <f>_xlfn.XLOOKUP(_2026[[#This Row],[Artist]], Table3[Artist], Table3[Notes], "",)</f>
        <v>0</v>
      </c>
      <c r="E14" s="1">
        <v>46207</v>
      </c>
      <c r="F14" s="2">
        <v>0.84375</v>
      </c>
      <c r="G14" s="2">
        <v>0.88541666666666663</v>
      </c>
      <c r="H14" s="9" t="s">
        <v>111</v>
      </c>
      <c r="I14" s="9" t="s">
        <v>310</v>
      </c>
      <c r="J14" s="9" t="s">
        <v>29</v>
      </c>
      <c r="K14" s="9" t="s">
        <v>311</v>
      </c>
      <c r="L14" s="9" t="s">
        <v>312</v>
      </c>
      <c r="M14" s="9" t="s">
        <v>313</v>
      </c>
      <c r="N14" s="9" t="s">
        <v>1395</v>
      </c>
      <c r="O14" s="9" t="s">
        <v>1395</v>
      </c>
      <c r="P14" s="9" t="s">
        <v>314</v>
      </c>
      <c r="Q14">
        <v>7</v>
      </c>
      <c r="S14" s="9" t="s">
        <v>67</v>
      </c>
      <c r="T14" s="9" t="s">
        <v>35</v>
      </c>
      <c r="U14" s="9" t="s">
        <v>1395</v>
      </c>
      <c r="V14" s="9" t="s">
        <v>315</v>
      </c>
      <c r="W14" s="9" t="s">
        <v>1453</v>
      </c>
      <c r="X14" s="9" t="s">
        <v>1454</v>
      </c>
      <c r="Y14" s="9" t="s">
        <v>316</v>
      </c>
      <c r="Z14" s="9" t="s">
        <v>38</v>
      </c>
      <c r="AA14" s="1">
        <v>46207</v>
      </c>
    </row>
    <row r="15" spans="1:27" x14ac:dyDescent="0.25">
      <c r="A15" s="9" t="s">
        <v>121</v>
      </c>
      <c r="B15" s="9" t="s">
        <v>122</v>
      </c>
      <c r="C15" s="10">
        <f>_xlfn.XLOOKUP(_2026[[#This Row],[Artist]], Table3[Artist], Table3[Rating], "",)</f>
        <v>8</v>
      </c>
      <c r="D15" s="9" t="str">
        <f>_xlfn.XLOOKUP(_2026[[#This Row],[Artist]], Table3[Artist], Table3[Notes], "",)</f>
        <v>Lang niet gezien. Vind het alleen meer iets voor in een tent en 's avonds.</v>
      </c>
      <c r="E15" s="1">
        <v>46208</v>
      </c>
      <c r="F15" s="2">
        <v>0.64583333333333337</v>
      </c>
      <c r="G15" s="2">
        <v>0.6875</v>
      </c>
      <c r="H15" s="9" t="s">
        <v>27</v>
      </c>
      <c r="I15" s="9" t="s">
        <v>123</v>
      </c>
      <c r="J15" s="9" t="s">
        <v>62</v>
      </c>
      <c r="K15" s="9" t="s">
        <v>124</v>
      </c>
      <c r="L15" s="9" t="s">
        <v>125</v>
      </c>
      <c r="M15" s="9" t="s">
        <v>126</v>
      </c>
      <c r="N15" s="9" t="s">
        <v>1395</v>
      </c>
      <c r="O15" s="9" t="s">
        <v>1395</v>
      </c>
      <c r="P15" s="9" t="s">
        <v>127</v>
      </c>
      <c r="Q15">
        <v>8</v>
      </c>
      <c r="S15" s="9" t="s">
        <v>67</v>
      </c>
      <c r="T15" s="9" t="s">
        <v>35</v>
      </c>
      <c r="U15" s="9" t="s">
        <v>1395</v>
      </c>
      <c r="V15" s="9" t="s">
        <v>128</v>
      </c>
      <c r="W15" s="9" t="s">
        <v>1410</v>
      </c>
      <c r="X15" s="9" t="s">
        <v>1411</v>
      </c>
      <c r="Y15" s="9" t="s">
        <v>129</v>
      </c>
      <c r="Z15" s="9" t="s">
        <v>38</v>
      </c>
      <c r="AA15" s="1">
        <v>46208</v>
      </c>
    </row>
    <row r="16" spans="1:27" x14ac:dyDescent="0.25">
      <c r="A16" s="9" t="s">
        <v>562</v>
      </c>
      <c r="B16" s="9" t="s">
        <v>563</v>
      </c>
      <c r="C16" s="10">
        <f>_xlfn.XLOOKUP(_2026[[#This Row],[Artist]], Table3[Artist], Table3[Rating], "",)</f>
        <v>0</v>
      </c>
      <c r="D16" s="9">
        <f>_xlfn.XLOOKUP(_2026[[#This Row],[Artist]], Table3[Artist], Table3[Notes], "",)</f>
        <v>0</v>
      </c>
      <c r="E16" s="1">
        <v>46206</v>
      </c>
      <c r="F16" s="2">
        <v>0.9375</v>
      </c>
      <c r="G16" s="2">
        <v>2.0833333333333332E-2</v>
      </c>
      <c r="H16" s="9" t="s">
        <v>547</v>
      </c>
      <c r="I16" s="9" t="s">
        <v>564</v>
      </c>
      <c r="J16" s="9" t="s">
        <v>162</v>
      </c>
      <c r="K16" s="9" t="s">
        <v>565</v>
      </c>
      <c r="L16" s="9" t="s">
        <v>1395</v>
      </c>
      <c r="M16" s="9" t="s">
        <v>566</v>
      </c>
      <c r="N16" s="9" t="s">
        <v>1395</v>
      </c>
      <c r="O16" s="9" t="s">
        <v>1395</v>
      </c>
      <c r="P16" s="9" t="s">
        <v>1395</v>
      </c>
      <c r="R16">
        <v>1</v>
      </c>
      <c r="S16" s="9" t="s">
        <v>567</v>
      </c>
      <c r="T16" s="9" t="s">
        <v>1395</v>
      </c>
      <c r="U16" s="9" t="s">
        <v>1395</v>
      </c>
      <c r="V16" s="9" t="s">
        <v>568</v>
      </c>
      <c r="W16" s="9" t="s">
        <v>1496</v>
      </c>
      <c r="X16" s="9" t="s">
        <v>569</v>
      </c>
      <c r="Y16" s="9" t="s">
        <v>570</v>
      </c>
      <c r="Z16" s="9" t="s">
        <v>38</v>
      </c>
      <c r="AA16" s="1">
        <v>46207</v>
      </c>
    </row>
    <row r="17" spans="1:27" x14ac:dyDescent="0.25">
      <c r="A17" s="9" t="s">
        <v>921</v>
      </c>
      <c r="B17" s="9" t="s">
        <v>922</v>
      </c>
      <c r="C17" s="10">
        <f>_xlfn.XLOOKUP(_2026[[#This Row],[Artist]], Table3[Artist], Table3[Rating], "",)</f>
        <v>0</v>
      </c>
      <c r="D17" s="9">
        <f>_xlfn.XLOOKUP(_2026[[#This Row],[Artist]], Table3[Artist], Table3[Notes], "",)</f>
        <v>0</v>
      </c>
      <c r="E17" s="1">
        <v>46207</v>
      </c>
      <c r="F17" s="2">
        <v>0.79166666666666663</v>
      </c>
      <c r="G17" s="2">
        <v>0.875</v>
      </c>
      <c r="H17" s="9" t="s">
        <v>923</v>
      </c>
      <c r="I17" s="9" t="s">
        <v>1837</v>
      </c>
      <c r="J17" s="9" t="s">
        <v>162</v>
      </c>
      <c r="K17" s="9" t="s">
        <v>924</v>
      </c>
      <c r="L17" s="9" t="s">
        <v>1395</v>
      </c>
      <c r="M17" s="9" t="s">
        <v>432</v>
      </c>
      <c r="N17" s="9" t="s">
        <v>1395</v>
      </c>
      <c r="O17" s="9" t="s">
        <v>1395</v>
      </c>
      <c r="P17" s="9" t="s">
        <v>1395</v>
      </c>
      <c r="R17">
        <v>1</v>
      </c>
      <c r="S17" s="9" t="s">
        <v>567</v>
      </c>
      <c r="T17" s="9" t="s">
        <v>1395</v>
      </c>
      <c r="U17" s="9" t="s">
        <v>1395</v>
      </c>
      <c r="V17" s="9" t="s">
        <v>925</v>
      </c>
      <c r="W17" s="9" t="s">
        <v>926</v>
      </c>
      <c r="X17" s="9" t="s">
        <v>927</v>
      </c>
      <c r="Y17" s="9" t="s">
        <v>928</v>
      </c>
      <c r="Z17" s="9" t="s">
        <v>38</v>
      </c>
      <c r="AA17" s="1">
        <v>46207</v>
      </c>
    </row>
    <row r="18" spans="1:27" x14ac:dyDescent="0.25">
      <c r="A18" s="9" t="s">
        <v>1060</v>
      </c>
      <c r="B18" s="9" t="s">
        <v>1061</v>
      </c>
      <c r="C18" s="10">
        <f>_xlfn.XLOOKUP(_2026[[#This Row],[Artist]], Table3[Artist], Table3[Rating], "",)</f>
        <v>0</v>
      </c>
      <c r="D18" s="9">
        <f>_xlfn.XLOOKUP(_2026[[#This Row],[Artist]], Table3[Artist], Table3[Notes], "",)</f>
        <v>0</v>
      </c>
      <c r="E18" s="1">
        <v>46208</v>
      </c>
      <c r="F18" s="2">
        <v>0.90625</v>
      </c>
      <c r="G18" s="2">
        <v>0.9375</v>
      </c>
      <c r="H18" s="9" t="s">
        <v>1062</v>
      </c>
      <c r="I18" s="9" t="s">
        <v>1063</v>
      </c>
      <c r="J18" s="9" t="s">
        <v>1395</v>
      </c>
      <c r="K18" s="9" t="s">
        <v>1643</v>
      </c>
      <c r="L18" s="9" t="s">
        <v>1395</v>
      </c>
      <c r="M18" s="9" t="s">
        <v>1064</v>
      </c>
      <c r="N18" s="9" t="s">
        <v>1395</v>
      </c>
      <c r="O18" s="9" t="s">
        <v>1395</v>
      </c>
      <c r="P18" s="9" t="s">
        <v>1395</v>
      </c>
      <c r="S18" s="9" t="s">
        <v>1395</v>
      </c>
      <c r="T18" s="9" t="s">
        <v>1395</v>
      </c>
      <c r="U18" s="9" t="s">
        <v>1395</v>
      </c>
      <c r="V18" s="9" t="s">
        <v>1065</v>
      </c>
      <c r="W18" s="9" t="s">
        <v>1644</v>
      </c>
      <c r="X18" s="9" t="s">
        <v>1645</v>
      </c>
      <c r="Y18" s="9" t="s">
        <v>1066</v>
      </c>
      <c r="Z18" s="9" t="s">
        <v>38</v>
      </c>
      <c r="AA18" s="1">
        <v>46208</v>
      </c>
    </row>
    <row r="19" spans="1:27" x14ac:dyDescent="0.25">
      <c r="A19" s="9" t="s">
        <v>765</v>
      </c>
      <c r="B19" s="9" t="s">
        <v>766</v>
      </c>
      <c r="C19" s="10">
        <f>_xlfn.XLOOKUP(_2026[[#This Row],[Artist]], Table3[Artist], Table3[Rating], "",)</f>
        <v>0</v>
      </c>
      <c r="D19" s="9">
        <f>_xlfn.XLOOKUP(_2026[[#This Row],[Artist]], Table3[Artist], Table3[Notes], "",)</f>
        <v>0</v>
      </c>
      <c r="E19" s="1">
        <v>46206</v>
      </c>
      <c r="F19" s="2">
        <v>0.83333333333333337</v>
      </c>
      <c r="G19" s="2">
        <v>0.89583333333333337</v>
      </c>
      <c r="H19" s="9" t="s">
        <v>743</v>
      </c>
      <c r="I19" s="9" t="s">
        <v>1395</v>
      </c>
      <c r="J19" s="9" t="s">
        <v>759</v>
      </c>
      <c r="K19" s="9" t="s">
        <v>1549</v>
      </c>
      <c r="L19" s="9" t="s">
        <v>1395</v>
      </c>
      <c r="M19" s="9" t="s">
        <v>767</v>
      </c>
      <c r="N19" s="9" t="s">
        <v>1395</v>
      </c>
      <c r="O19" s="9" t="s">
        <v>1395</v>
      </c>
      <c r="P19" s="9" t="s">
        <v>1395</v>
      </c>
      <c r="R19">
        <v>1</v>
      </c>
      <c r="S19" s="9" t="s">
        <v>1395</v>
      </c>
      <c r="T19" s="9" t="s">
        <v>1395</v>
      </c>
      <c r="U19" s="9" t="s">
        <v>1395</v>
      </c>
      <c r="V19" s="9" t="s">
        <v>768</v>
      </c>
      <c r="W19" s="9" t="s">
        <v>769</v>
      </c>
      <c r="X19" s="9" t="s">
        <v>1550</v>
      </c>
      <c r="Y19" s="9" t="s">
        <v>770</v>
      </c>
      <c r="Z19" s="9" t="s">
        <v>38</v>
      </c>
      <c r="AA19" s="1">
        <v>46206</v>
      </c>
    </row>
    <row r="20" spans="1:27" x14ac:dyDescent="0.25">
      <c r="A20" s="9" t="s">
        <v>571</v>
      </c>
      <c r="B20" s="9" t="s">
        <v>572</v>
      </c>
      <c r="C20" s="10">
        <f>_xlfn.XLOOKUP(_2026[[#This Row],[Artist]], Table3[Artist], Table3[Rating], "",)</f>
        <v>0</v>
      </c>
      <c r="D20" s="9">
        <f>_xlfn.XLOOKUP(_2026[[#This Row],[Artist]], Table3[Artist], Table3[Notes], "",)</f>
        <v>0</v>
      </c>
      <c r="E20" s="1">
        <v>46209</v>
      </c>
      <c r="F20" s="2">
        <v>2.0833333333333332E-2</v>
      </c>
      <c r="G20" s="2">
        <v>0.10416666666666667</v>
      </c>
      <c r="H20" s="9" t="s">
        <v>547</v>
      </c>
      <c r="I20" s="9" t="s">
        <v>1818</v>
      </c>
      <c r="J20" s="9" t="s">
        <v>113</v>
      </c>
      <c r="K20" s="9" t="s">
        <v>573</v>
      </c>
      <c r="L20" s="9" t="s">
        <v>1395</v>
      </c>
      <c r="M20" s="9" t="s">
        <v>574</v>
      </c>
      <c r="N20" s="9" t="s">
        <v>1395</v>
      </c>
      <c r="O20" s="9" t="s">
        <v>1395</v>
      </c>
      <c r="P20" s="9" t="s">
        <v>1395</v>
      </c>
      <c r="R20">
        <v>1</v>
      </c>
      <c r="S20" s="9" t="s">
        <v>575</v>
      </c>
      <c r="T20" s="9" t="s">
        <v>1395</v>
      </c>
      <c r="U20" s="9" t="s">
        <v>1395</v>
      </c>
      <c r="V20" s="9" t="s">
        <v>576</v>
      </c>
      <c r="W20" s="9" t="s">
        <v>1497</v>
      </c>
      <c r="X20" s="9" t="s">
        <v>577</v>
      </c>
      <c r="Y20" s="9" t="s">
        <v>578</v>
      </c>
      <c r="Z20" s="9" t="s">
        <v>38</v>
      </c>
      <c r="AA20" s="1">
        <v>46209</v>
      </c>
    </row>
    <row r="21" spans="1:27" x14ac:dyDescent="0.25">
      <c r="A21" s="9" t="s">
        <v>771</v>
      </c>
      <c r="B21" s="9" t="s">
        <v>772</v>
      </c>
      <c r="C21" s="10">
        <f>_xlfn.XLOOKUP(_2026[[#This Row],[Artist]], Table3[Artist], Table3[Rating], "",)</f>
        <v>0</v>
      </c>
      <c r="D21" s="9">
        <f>_xlfn.XLOOKUP(_2026[[#This Row],[Artist]], Table3[Artist], Table3[Notes], "",)</f>
        <v>0</v>
      </c>
      <c r="E21" s="1">
        <v>46207</v>
      </c>
      <c r="F21" s="2">
        <v>0.83333333333333337</v>
      </c>
      <c r="G21" s="2">
        <v>0.91666666666666663</v>
      </c>
      <c r="H21" s="9" t="s">
        <v>743</v>
      </c>
      <c r="I21" s="9" t="s">
        <v>773</v>
      </c>
      <c r="J21" s="9" t="s">
        <v>74</v>
      </c>
      <c r="K21" s="9" t="s">
        <v>774</v>
      </c>
      <c r="L21" s="9" t="s">
        <v>1395</v>
      </c>
      <c r="M21" s="9" t="s">
        <v>775</v>
      </c>
      <c r="N21" s="9" t="s">
        <v>1395</v>
      </c>
      <c r="O21" s="9" t="s">
        <v>1395</v>
      </c>
      <c r="P21" s="9" t="s">
        <v>776</v>
      </c>
      <c r="Q21">
        <v>6</v>
      </c>
      <c r="S21" s="9" t="s">
        <v>34</v>
      </c>
      <c r="T21" s="9" t="s">
        <v>38</v>
      </c>
      <c r="U21" s="9" t="s">
        <v>1395</v>
      </c>
      <c r="V21" s="9" t="s">
        <v>777</v>
      </c>
      <c r="W21" s="9" t="s">
        <v>1551</v>
      </c>
      <c r="X21" s="9" t="s">
        <v>1552</v>
      </c>
      <c r="Y21" s="9" t="s">
        <v>778</v>
      </c>
      <c r="Z21" s="9" t="s">
        <v>38</v>
      </c>
      <c r="AA21" s="1">
        <v>46207</v>
      </c>
    </row>
    <row r="22" spans="1:27" x14ac:dyDescent="0.25">
      <c r="A22" s="9" t="s">
        <v>929</v>
      </c>
      <c r="B22" s="9" t="s">
        <v>930</v>
      </c>
      <c r="C22" s="10">
        <f>_xlfn.XLOOKUP(_2026[[#This Row],[Artist]], Table3[Artist], Table3[Rating], "",)</f>
        <v>0</v>
      </c>
      <c r="D22" s="9">
        <f>_xlfn.XLOOKUP(_2026[[#This Row],[Artist]], Table3[Artist], Table3[Notes], "",)</f>
        <v>0</v>
      </c>
      <c r="E22" s="1">
        <v>46208</v>
      </c>
      <c r="F22" s="2">
        <v>0.45833333333333331</v>
      </c>
      <c r="G22" s="2">
        <v>0.54166666666666663</v>
      </c>
      <c r="H22" s="9" t="s">
        <v>923</v>
      </c>
      <c r="I22" s="9" t="s">
        <v>1395</v>
      </c>
      <c r="J22" s="9" t="s">
        <v>1395</v>
      </c>
      <c r="K22" s="9" t="s">
        <v>1609</v>
      </c>
      <c r="L22" s="9" t="s">
        <v>1395</v>
      </c>
      <c r="M22" s="9" t="s">
        <v>432</v>
      </c>
      <c r="N22" s="9" t="s">
        <v>1395</v>
      </c>
      <c r="O22" s="9" t="s">
        <v>1395</v>
      </c>
      <c r="P22" s="9" t="s">
        <v>1395</v>
      </c>
      <c r="S22" s="9" t="s">
        <v>34</v>
      </c>
      <c r="T22" s="9" t="s">
        <v>1395</v>
      </c>
      <c r="U22" s="9" t="s">
        <v>1395</v>
      </c>
      <c r="V22" s="9" t="s">
        <v>931</v>
      </c>
      <c r="W22" s="9" t="s">
        <v>1610</v>
      </c>
      <c r="X22" s="9" t="s">
        <v>1611</v>
      </c>
      <c r="Y22" s="9" t="s">
        <v>932</v>
      </c>
      <c r="Z22" s="9" t="s">
        <v>38</v>
      </c>
      <c r="AA22" s="1">
        <v>46208</v>
      </c>
    </row>
    <row r="23" spans="1:27" x14ac:dyDescent="0.25">
      <c r="A23" s="9" t="s">
        <v>317</v>
      </c>
      <c r="B23" s="9" t="s">
        <v>318</v>
      </c>
      <c r="C23" s="10">
        <f>_xlfn.XLOOKUP(_2026[[#This Row],[Artist]], Table3[Artist], Table3[Rating], "",)</f>
        <v>7</v>
      </c>
      <c r="D23" s="9" t="str">
        <f>_xlfn.XLOOKUP(_2026[[#This Row],[Artist]], Table3[Artist], Table3[Notes], "",)</f>
        <v>Frans-Canadese pop-zangeres</v>
      </c>
      <c r="E23" s="1">
        <v>46208</v>
      </c>
      <c r="F23" s="2">
        <v>0.6875</v>
      </c>
      <c r="G23" s="2">
        <v>0.72916666666666663</v>
      </c>
      <c r="H23" s="9" t="s">
        <v>100</v>
      </c>
      <c r="I23" s="9" t="s">
        <v>319</v>
      </c>
      <c r="J23" s="9" t="s">
        <v>320</v>
      </c>
      <c r="K23" s="9" t="s">
        <v>321</v>
      </c>
      <c r="L23" s="9" t="s">
        <v>322</v>
      </c>
      <c r="M23" s="9" t="s">
        <v>323</v>
      </c>
      <c r="N23" s="9" t="s">
        <v>1395</v>
      </c>
      <c r="O23" s="9" t="s">
        <v>1395</v>
      </c>
      <c r="P23" s="9" t="s">
        <v>324</v>
      </c>
      <c r="Q23">
        <v>8</v>
      </c>
      <c r="S23" s="9" t="s">
        <v>34</v>
      </c>
      <c r="T23" s="9" t="s">
        <v>35</v>
      </c>
      <c r="U23" s="9" t="s">
        <v>1395</v>
      </c>
      <c r="V23" s="9" t="s">
        <v>325</v>
      </c>
      <c r="W23" s="9" t="s">
        <v>1455</v>
      </c>
      <c r="X23" s="9" t="s">
        <v>1456</v>
      </c>
      <c r="Y23" s="9" t="s">
        <v>326</v>
      </c>
      <c r="Z23" s="9" t="s">
        <v>38</v>
      </c>
      <c r="AA23" s="1">
        <v>46208</v>
      </c>
    </row>
    <row r="24" spans="1:27" x14ac:dyDescent="0.25">
      <c r="A24" s="9" t="s">
        <v>1874</v>
      </c>
      <c r="B24" s="9" t="s">
        <v>1875</v>
      </c>
      <c r="C24" s="10" t="str">
        <f>_xlfn.XLOOKUP(_2026[[#This Row],[Artist]], Table3[Artist], Table3[Rating], "",)</f>
        <v/>
      </c>
      <c r="D24" s="9" t="str">
        <f>_xlfn.XLOOKUP(_2026[[#This Row],[Artist]], Table3[Artist], Table3[Notes], "",)</f>
        <v/>
      </c>
      <c r="E24" s="1">
        <v>46206</v>
      </c>
      <c r="F24" s="2">
        <v>0.95833333333333337</v>
      </c>
      <c r="G24" s="2">
        <v>2.0833333333333332E-2</v>
      </c>
      <c r="H24" s="9" t="s">
        <v>743</v>
      </c>
      <c r="I24" s="9" t="s">
        <v>1876</v>
      </c>
      <c r="J24" s="9" t="s">
        <v>162</v>
      </c>
      <c r="K24" s="9" t="s">
        <v>1877</v>
      </c>
      <c r="L24" s="9" t="s">
        <v>1395</v>
      </c>
      <c r="M24" s="9" t="s">
        <v>1859</v>
      </c>
      <c r="N24" s="9" t="s">
        <v>1395</v>
      </c>
      <c r="O24" s="9" t="s">
        <v>1395</v>
      </c>
      <c r="P24" s="9" t="s">
        <v>1878</v>
      </c>
      <c r="Q24">
        <v>6</v>
      </c>
      <c r="S24" s="9" t="s">
        <v>34</v>
      </c>
      <c r="T24" s="9" t="s">
        <v>38</v>
      </c>
      <c r="U24" s="9" t="s">
        <v>1395</v>
      </c>
      <c r="V24" s="9" t="s">
        <v>1879</v>
      </c>
      <c r="W24" s="9" t="s">
        <v>1880</v>
      </c>
      <c r="X24" s="9" t="s">
        <v>1881</v>
      </c>
      <c r="Y24" s="9" t="s">
        <v>1882</v>
      </c>
      <c r="Z24" s="9" t="s">
        <v>38</v>
      </c>
      <c r="AA24" s="1">
        <v>46207</v>
      </c>
    </row>
    <row r="25" spans="1:27" x14ac:dyDescent="0.25">
      <c r="A25" s="9" t="s">
        <v>579</v>
      </c>
      <c r="B25" s="9" t="s">
        <v>580</v>
      </c>
      <c r="C25" s="10">
        <f>_xlfn.XLOOKUP(_2026[[#This Row],[Artist]], Table3[Artist], Table3[Rating], "",)</f>
        <v>0</v>
      </c>
      <c r="D25" s="9">
        <f>_xlfn.XLOOKUP(_2026[[#This Row],[Artist]], Table3[Artist], Table3[Notes], "",)</f>
        <v>0</v>
      </c>
      <c r="E25" s="1">
        <v>46208</v>
      </c>
      <c r="F25" s="2">
        <v>2.0833333333333332E-2</v>
      </c>
      <c r="G25" s="2">
        <v>0.10416666666666667</v>
      </c>
      <c r="H25" s="9" t="s">
        <v>547</v>
      </c>
      <c r="I25" s="9" t="s">
        <v>581</v>
      </c>
      <c r="J25" s="9" t="s">
        <v>320</v>
      </c>
      <c r="K25" s="9" t="s">
        <v>582</v>
      </c>
      <c r="L25" s="9" t="s">
        <v>1395</v>
      </c>
      <c r="M25" s="9" t="s">
        <v>583</v>
      </c>
      <c r="N25" s="9" t="s">
        <v>1395</v>
      </c>
      <c r="O25" s="9" t="s">
        <v>1395</v>
      </c>
      <c r="P25" s="9" t="s">
        <v>584</v>
      </c>
      <c r="Q25">
        <v>7</v>
      </c>
      <c r="S25" s="9" t="s">
        <v>34</v>
      </c>
      <c r="T25" s="9" t="s">
        <v>38</v>
      </c>
      <c r="U25" s="9" t="s">
        <v>1395</v>
      </c>
      <c r="V25" s="9" t="s">
        <v>585</v>
      </c>
      <c r="W25" s="9" t="s">
        <v>1498</v>
      </c>
      <c r="X25" s="9" t="s">
        <v>1499</v>
      </c>
      <c r="Y25" s="9" t="s">
        <v>586</v>
      </c>
      <c r="Z25" s="9" t="s">
        <v>38</v>
      </c>
      <c r="AA25" s="1">
        <v>46208</v>
      </c>
    </row>
    <row r="26" spans="1:27" x14ac:dyDescent="0.25">
      <c r="A26" s="9" t="s">
        <v>327</v>
      </c>
      <c r="B26" s="9" t="s">
        <v>328</v>
      </c>
      <c r="C26" s="10">
        <f>_xlfn.XLOOKUP(_2026[[#This Row],[Artist]], Table3[Artist], Table3[Rating], "",)</f>
        <v>0</v>
      </c>
      <c r="D26" s="9">
        <f>_xlfn.XLOOKUP(_2026[[#This Row],[Artist]], Table3[Artist], Table3[Notes], "",)</f>
        <v>0</v>
      </c>
      <c r="E26" s="1">
        <v>46208</v>
      </c>
      <c r="F26" s="2">
        <v>0.6875</v>
      </c>
      <c r="G26" s="2">
        <v>0.72916666666666663</v>
      </c>
      <c r="H26" s="9" t="s">
        <v>111</v>
      </c>
      <c r="I26" s="9" t="s">
        <v>329</v>
      </c>
      <c r="J26" s="9" t="s">
        <v>162</v>
      </c>
      <c r="K26" s="9" t="s">
        <v>330</v>
      </c>
      <c r="L26" s="9" t="s">
        <v>1395</v>
      </c>
      <c r="M26" s="9" t="s">
        <v>331</v>
      </c>
      <c r="N26" s="9" t="s">
        <v>1395</v>
      </c>
      <c r="O26" s="9" t="s">
        <v>1395</v>
      </c>
      <c r="P26" s="9" t="s">
        <v>332</v>
      </c>
      <c r="Q26">
        <v>7</v>
      </c>
      <c r="R26">
        <v>4</v>
      </c>
      <c r="S26" s="9" t="s">
        <v>67</v>
      </c>
      <c r="T26" s="9" t="s">
        <v>35</v>
      </c>
      <c r="U26" s="9" t="s">
        <v>1395</v>
      </c>
      <c r="V26" s="9" t="s">
        <v>333</v>
      </c>
      <c r="W26" s="9" t="s">
        <v>1457</v>
      </c>
      <c r="X26" s="9" t="s">
        <v>1458</v>
      </c>
      <c r="Y26" s="9" t="s">
        <v>334</v>
      </c>
      <c r="Z26" s="9" t="s">
        <v>38</v>
      </c>
      <c r="AA26" s="1">
        <v>46208</v>
      </c>
    </row>
    <row r="27" spans="1:27" x14ac:dyDescent="0.25">
      <c r="A27" s="9" t="s">
        <v>1067</v>
      </c>
      <c r="B27" s="9" t="s">
        <v>1068</v>
      </c>
      <c r="C27" s="10">
        <f>_xlfn.XLOOKUP(_2026[[#This Row],[Artist]], Table3[Artist], Table3[Rating], "",)</f>
        <v>0</v>
      </c>
      <c r="D27" s="9">
        <f>_xlfn.XLOOKUP(_2026[[#This Row],[Artist]], Table3[Artist], Table3[Notes], "",)</f>
        <v>0</v>
      </c>
      <c r="E27" s="1">
        <v>46207</v>
      </c>
      <c r="F27" s="2">
        <v>0.64583333333333337</v>
      </c>
      <c r="G27" s="2">
        <v>0.67708333333333337</v>
      </c>
      <c r="H27" s="9" t="s">
        <v>1062</v>
      </c>
      <c r="I27" s="9" t="s">
        <v>1069</v>
      </c>
      <c r="J27" s="9" t="s">
        <v>1395</v>
      </c>
      <c r="K27" s="9" t="s">
        <v>1646</v>
      </c>
      <c r="L27" s="9" t="s">
        <v>1395</v>
      </c>
      <c r="M27" s="9" t="s">
        <v>1070</v>
      </c>
      <c r="N27" s="9" t="s">
        <v>1395</v>
      </c>
      <c r="O27" s="9" t="s">
        <v>1395</v>
      </c>
      <c r="P27" s="9" t="s">
        <v>1395</v>
      </c>
      <c r="S27" s="9" t="s">
        <v>1395</v>
      </c>
      <c r="T27" s="9" t="s">
        <v>1395</v>
      </c>
      <c r="U27" s="9" t="s">
        <v>1395</v>
      </c>
      <c r="V27" s="9" t="s">
        <v>1071</v>
      </c>
      <c r="W27" s="9" t="s">
        <v>1647</v>
      </c>
      <c r="X27" s="9" t="s">
        <v>1648</v>
      </c>
      <c r="Y27" s="9" t="s">
        <v>1072</v>
      </c>
      <c r="Z27" s="9" t="s">
        <v>38</v>
      </c>
      <c r="AA27" s="1">
        <v>46207</v>
      </c>
    </row>
    <row r="28" spans="1:27" x14ac:dyDescent="0.25">
      <c r="A28" s="9" t="s">
        <v>1340</v>
      </c>
      <c r="B28" s="9" t="s">
        <v>1341</v>
      </c>
      <c r="C28" s="10">
        <f>_xlfn.XLOOKUP(_2026[[#This Row],[Artist]], Table3[Artist], Table3[Rating], "",)</f>
        <v>0</v>
      </c>
      <c r="D28" s="9">
        <f>_xlfn.XLOOKUP(_2026[[#This Row],[Artist]], Table3[Artist], Table3[Notes], "",)</f>
        <v>0</v>
      </c>
      <c r="E28" s="1">
        <v>46206</v>
      </c>
      <c r="F28" s="2">
        <v>0.91666666666666663</v>
      </c>
      <c r="G28" s="2">
        <v>0.125</v>
      </c>
      <c r="H28" s="9" t="s">
        <v>1342</v>
      </c>
      <c r="I28" s="9" t="s">
        <v>1848</v>
      </c>
      <c r="J28" s="9" t="s">
        <v>449</v>
      </c>
      <c r="K28" s="9" t="s">
        <v>1747</v>
      </c>
      <c r="L28" s="9" t="s">
        <v>1395</v>
      </c>
      <c r="M28" s="9" t="s">
        <v>432</v>
      </c>
      <c r="N28" s="9" t="s">
        <v>1395</v>
      </c>
      <c r="O28" s="9" t="s">
        <v>1395</v>
      </c>
      <c r="P28" s="9" t="s">
        <v>1395</v>
      </c>
      <c r="S28" s="9" t="s">
        <v>567</v>
      </c>
      <c r="T28" s="9" t="s">
        <v>38</v>
      </c>
      <c r="U28" s="9" t="s">
        <v>1395</v>
      </c>
      <c r="V28" s="9" t="s">
        <v>1343</v>
      </c>
      <c r="W28" s="9" t="s">
        <v>1748</v>
      </c>
      <c r="X28" s="9" t="s">
        <v>1749</v>
      </c>
      <c r="Y28" s="9" t="s">
        <v>1344</v>
      </c>
      <c r="Z28" s="9" t="s">
        <v>38</v>
      </c>
      <c r="AA28" s="1">
        <v>46207</v>
      </c>
    </row>
    <row r="29" spans="1:27" x14ac:dyDescent="0.25">
      <c r="A29" s="9" t="s">
        <v>130</v>
      </c>
      <c r="B29" s="9" t="s">
        <v>131</v>
      </c>
      <c r="C29" s="10">
        <f>_xlfn.XLOOKUP(_2026[[#This Row],[Artist]], Table3[Artist], Table3[Rating], "",)</f>
        <v>8</v>
      </c>
      <c r="D29" s="9" t="str">
        <f>_xlfn.XLOOKUP(_2026[[#This Row],[Artist]], Table3[Artist], Table3[Notes], "",)</f>
        <v>Aanstekelijke ernergie, zang niet altijd zuiver. Ooit gehoord - amper gezien want ik gok dat ze 1.50 m lang is ;-)-  in de Bossa Nova, nu op mainstage</v>
      </c>
      <c r="E29" s="1">
        <v>46206</v>
      </c>
      <c r="F29" s="2">
        <v>0.8125</v>
      </c>
      <c r="G29" s="2">
        <v>0.85416666666666663</v>
      </c>
      <c r="H29" s="9" t="s">
        <v>27</v>
      </c>
      <c r="I29" s="9" t="s">
        <v>132</v>
      </c>
      <c r="J29" s="9" t="s">
        <v>133</v>
      </c>
      <c r="K29" s="9" t="s">
        <v>134</v>
      </c>
      <c r="L29" s="9" t="s">
        <v>135</v>
      </c>
      <c r="M29" s="9" t="s">
        <v>136</v>
      </c>
      <c r="N29" s="9" t="s">
        <v>1395</v>
      </c>
      <c r="O29" s="9" t="s">
        <v>1395</v>
      </c>
      <c r="P29" s="9" t="s">
        <v>137</v>
      </c>
      <c r="Q29">
        <v>7</v>
      </c>
      <c r="S29" s="9" t="s">
        <v>34</v>
      </c>
      <c r="T29" s="9" t="s">
        <v>35</v>
      </c>
      <c r="U29" s="9" t="s">
        <v>1395</v>
      </c>
      <c r="V29" s="9" t="s">
        <v>138</v>
      </c>
      <c r="W29" s="9" t="s">
        <v>1412</v>
      </c>
      <c r="X29" s="9" t="s">
        <v>1413</v>
      </c>
      <c r="Y29" s="9" t="s">
        <v>139</v>
      </c>
      <c r="Z29" s="9" t="s">
        <v>38</v>
      </c>
      <c r="AA29" s="1">
        <v>46206</v>
      </c>
    </row>
    <row r="30" spans="1:27" x14ac:dyDescent="0.25">
      <c r="A30" s="9" t="s">
        <v>587</v>
      </c>
      <c r="B30" s="9" t="s">
        <v>588</v>
      </c>
      <c r="C30" s="10">
        <f>_xlfn.XLOOKUP(_2026[[#This Row],[Artist]], Table3[Artist], Table3[Rating], "",)</f>
        <v>0</v>
      </c>
      <c r="D30" s="9">
        <f>_xlfn.XLOOKUP(_2026[[#This Row],[Artist]], Table3[Artist], Table3[Notes], "",)</f>
        <v>0</v>
      </c>
      <c r="E30" s="1">
        <v>46207</v>
      </c>
      <c r="F30" s="2">
        <v>0.66666666666666663</v>
      </c>
      <c r="G30" s="2">
        <v>0.70833333333333337</v>
      </c>
      <c r="H30" s="9" t="s">
        <v>547</v>
      </c>
      <c r="I30" s="9" t="s">
        <v>589</v>
      </c>
      <c r="J30" s="9" t="s">
        <v>590</v>
      </c>
      <c r="K30" s="9" t="s">
        <v>591</v>
      </c>
      <c r="L30" s="9" t="s">
        <v>1395</v>
      </c>
      <c r="M30" s="9" t="s">
        <v>592</v>
      </c>
      <c r="N30" s="9" t="s">
        <v>1395</v>
      </c>
      <c r="O30" s="9" t="s">
        <v>1395</v>
      </c>
      <c r="P30" s="9" t="s">
        <v>593</v>
      </c>
      <c r="Q30">
        <v>7</v>
      </c>
      <c r="S30" s="9" t="s">
        <v>67</v>
      </c>
      <c r="T30" s="9" t="s">
        <v>35</v>
      </c>
      <c r="U30" s="9" t="s">
        <v>1395</v>
      </c>
      <c r="V30" s="9" t="s">
        <v>594</v>
      </c>
      <c r="W30" s="9" t="s">
        <v>1500</v>
      </c>
      <c r="X30" s="9" t="s">
        <v>595</v>
      </c>
      <c r="Y30" s="9" t="s">
        <v>596</v>
      </c>
      <c r="Z30" s="9" t="s">
        <v>38</v>
      </c>
      <c r="AA30" s="1">
        <v>46207</v>
      </c>
    </row>
    <row r="31" spans="1:27" x14ac:dyDescent="0.25">
      <c r="A31" s="9" t="s">
        <v>140</v>
      </c>
      <c r="B31" s="9" t="s">
        <v>141</v>
      </c>
      <c r="C31" s="10">
        <f>_xlfn.XLOOKUP(_2026[[#This Row],[Artist]], Table3[Artist], Table3[Rating], "",)</f>
        <v>7</v>
      </c>
      <c r="D31" s="9" t="str">
        <f>_xlfn.XLOOKUP(_2026[[#This Row],[Artist]], Table3[Artist], Table3[Notes], "",)</f>
        <v>Elk jaar is er een Franse dance live-act met een retro randje, en dit is 'm.</v>
      </c>
      <c r="E31" s="1">
        <v>46207</v>
      </c>
      <c r="F31" s="2">
        <v>0.80208333333333337</v>
      </c>
      <c r="G31" s="2">
        <v>0.84375</v>
      </c>
      <c r="H31" s="9" t="s">
        <v>27</v>
      </c>
      <c r="I31" s="9" t="s">
        <v>142</v>
      </c>
      <c r="J31" s="9" t="s">
        <v>143</v>
      </c>
      <c r="K31" s="9" t="s">
        <v>144</v>
      </c>
      <c r="L31" s="9" t="s">
        <v>145</v>
      </c>
      <c r="M31" s="9" t="s">
        <v>146</v>
      </c>
      <c r="N31" s="9" t="s">
        <v>1395</v>
      </c>
      <c r="O31" s="9" t="s">
        <v>1395</v>
      </c>
      <c r="P31" s="9" t="s">
        <v>147</v>
      </c>
      <c r="Q31">
        <v>7</v>
      </c>
      <c r="S31" s="9" t="s">
        <v>67</v>
      </c>
      <c r="T31" s="9" t="s">
        <v>38</v>
      </c>
      <c r="U31" s="9" t="s">
        <v>1395</v>
      </c>
      <c r="V31" s="9" t="s">
        <v>148</v>
      </c>
      <c r="W31" s="9" t="s">
        <v>1414</v>
      </c>
      <c r="X31" s="9" t="s">
        <v>149</v>
      </c>
      <c r="Y31" s="9" t="s">
        <v>150</v>
      </c>
      <c r="Z31" s="9" t="s">
        <v>38</v>
      </c>
      <c r="AA31" s="1">
        <v>46207</v>
      </c>
    </row>
    <row r="32" spans="1:27" x14ac:dyDescent="0.25">
      <c r="A32" s="9" t="s">
        <v>1345</v>
      </c>
      <c r="B32" s="9" t="s">
        <v>1346</v>
      </c>
      <c r="C32" s="10">
        <f>_xlfn.XLOOKUP(_2026[[#This Row],[Artist]], Table3[Artist], Table3[Rating], "",)</f>
        <v>0</v>
      </c>
      <c r="D32" s="9">
        <f>_xlfn.XLOOKUP(_2026[[#This Row],[Artist]], Table3[Artist], Table3[Notes], "",)</f>
        <v>0</v>
      </c>
      <c r="E32" s="1">
        <v>46206</v>
      </c>
      <c r="F32" s="2">
        <v>0.5625</v>
      </c>
      <c r="G32" s="2">
        <v>0.60416666666666663</v>
      </c>
      <c r="H32" s="9" t="s">
        <v>1342</v>
      </c>
      <c r="I32" s="9" t="s">
        <v>1395</v>
      </c>
      <c r="J32" s="9" t="s">
        <v>1395</v>
      </c>
      <c r="K32" s="9" t="s">
        <v>1750</v>
      </c>
      <c r="L32" s="9" t="s">
        <v>1395</v>
      </c>
      <c r="M32" s="9" t="s">
        <v>432</v>
      </c>
      <c r="N32" s="9" t="s">
        <v>1395</v>
      </c>
      <c r="O32" s="9" t="s">
        <v>1395</v>
      </c>
      <c r="P32" s="9" t="s">
        <v>1395</v>
      </c>
      <c r="S32" s="9" t="s">
        <v>1395</v>
      </c>
      <c r="T32" s="9" t="s">
        <v>1395</v>
      </c>
      <c r="U32" s="9" t="s">
        <v>1395</v>
      </c>
      <c r="V32" s="9" t="s">
        <v>1347</v>
      </c>
      <c r="W32" s="9" t="s">
        <v>1751</v>
      </c>
      <c r="X32" s="9" t="s">
        <v>1752</v>
      </c>
      <c r="Y32" s="9" t="s">
        <v>1395</v>
      </c>
      <c r="Z32" s="9" t="s">
        <v>38</v>
      </c>
      <c r="AA32" s="1">
        <v>46206</v>
      </c>
    </row>
    <row r="33" spans="1:27" x14ac:dyDescent="0.25">
      <c r="A33" s="9" t="s">
        <v>1764</v>
      </c>
      <c r="B33" s="9" t="s">
        <v>1374</v>
      </c>
      <c r="C33" s="10">
        <f>_xlfn.XLOOKUP(_2026[[#This Row],[Artist]], Table3[Artist], Table3[Rating], "",)</f>
        <v>0</v>
      </c>
      <c r="D33" s="9">
        <f>_xlfn.XLOOKUP(_2026[[#This Row],[Artist]], Table3[Artist], Table3[Notes], "",)</f>
        <v>0</v>
      </c>
      <c r="E33" s="1"/>
      <c r="F33" s="2"/>
      <c r="G33" s="2"/>
      <c r="H33" s="9" t="s">
        <v>1395</v>
      </c>
      <c r="I33" s="9" t="s">
        <v>1395</v>
      </c>
      <c r="J33" s="9" t="s">
        <v>1395</v>
      </c>
      <c r="K33" s="9" t="s">
        <v>1375</v>
      </c>
      <c r="L33" s="9" t="s">
        <v>1395</v>
      </c>
      <c r="M33" s="9" t="s">
        <v>432</v>
      </c>
      <c r="N33" s="9" t="s">
        <v>1395</v>
      </c>
      <c r="O33" s="9" t="s">
        <v>1395</v>
      </c>
      <c r="P33" s="9" t="s">
        <v>1395</v>
      </c>
      <c r="S33" s="9" t="s">
        <v>1395</v>
      </c>
      <c r="T33" s="9" t="s">
        <v>1395</v>
      </c>
      <c r="U33" s="9" t="s">
        <v>1395</v>
      </c>
      <c r="V33" s="9" t="s">
        <v>1376</v>
      </c>
      <c r="W33" s="9" t="s">
        <v>1377</v>
      </c>
      <c r="X33" s="9" t="s">
        <v>1378</v>
      </c>
      <c r="Y33" s="9" t="s">
        <v>1395</v>
      </c>
      <c r="Z33" s="9" t="s">
        <v>38</v>
      </c>
      <c r="AA33" s="1"/>
    </row>
    <row r="34" spans="1:27" x14ac:dyDescent="0.25">
      <c r="A34" s="9" t="s">
        <v>59</v>
      </c>
      <c r="B34" s="9" t="s">
        <v>60</v>
      </c>
      <c r="C34" s="10">
        <f>_xlfn.XLOOKUP(_2026[[#This Row],[Artist]], Table3[Artist], Table3[Rating], "",)</f>
        <v>10</v>
      </c>
      <c r="D34" s="9" t="str">
        <f>_xlfn.XLOOKUP(_2026[[#This Row],[Artist]], Table3[Artist], Table3[Notes], "",)</f>
        <v>Van de nieuwe plaat is niet iedereen fan (Bauke!) maar dit is toch niet te missen.</v>
      </c>
      <c r="E34" s="1">
        <v>46207</v>
      </c>
      <c r="F34" s="2">
        <v>0.88541666666666663</v>
      </c>
      <c r="G34" s="2">
        <v>0.92708333333333337</v>
      </c>
      <c r="H34" s="9" t="s">
        <v>27</v>
      </c>
      <c r="I34" s="9" t="s">
        <v>61</v>
      </c>
      <c r="J34" s="9" t="s">
        <v>62</v>
      </c>
      <c r="K34" s="9" t="s">
        <v>63</v>
      </c>
      <c r="L34" s="9" t="s">
        <v>64</v>
      </c>
      <c r="M34" s="9" t="s">
        <v>65</v>
      </c>
      <c r="N34" s="9" t="s">
        <v>1395</v>
      </c>
      <c r="O34" s="9" t="s">
        <v>1395</v>
      </c>
      <c r="P34" s="9" t="s">
        <v>66</v>
      </c>
      <c r="Q34">
        <v>9</v>
      </c>
      <c r="S34" s="9" t="s">
        <v>67</v>
      </c>
      <c r="T34" s="9" t="s">
        <v>35</v>
      </c>
      <c r="U34" s="9" t="s">
        <v>1395</v>
      </c>
      <c r="V34" s="9" t="s">
        <v>68</v>
      </c>
      <c r="W34" s="9" t="s">
        <v>1401</v>
      </c>
      <c r="X34" s="9" t="s">
        <v>69</v>
      </c>
      <c r="Y34" s="9" t="s">
        <v>70</v>
      </c>
      <c r="Z34" s="9" t="s">
        <v>38</v>
      </c>
      <c r="AA34" s="1">
        <v>46207</v>
      </c>
    </row>
    <row r="35" spans="1:27" x14ac:dyDescent="0.25">
      <c r="A35" s="9" t="s">
        <v>480</v>
      </c>
      <c r="B35" s="9" t="s">
        <v>481</v>
      </c>
      <c r="C35" s="10">
        <f>_xlfn.XLOOKUP(_2026[[#This Row],[Artist]], Table3[Artist], Table3[Rating], "",)</f>
        <v>0</v>
      </c>
      <c r="D35" s="9">
        <f>_xlfn.XLOOKUP(_2026[[#This Row],[Artist]], Table3[Artist], Table3[Notes], "",)</f>
        <v>0</v>
      </c>
      <c r="E35" s="1">
        <v>46208</v>
      </c>
      <c r="F35" s="2">
        <v>0.52083333333333337</v>
      </c>
      <c r="G35" s="2">
        <v>0.55208333333333337</v>
      </c>
      <c r="H35" s="9" t="s">
        <v>111</v>
      </c>
      <c r="I35" s="9" t="s">
        <v>482</v>
      </c>
      <c r="J35" s="9" t="s">
        <v>162</v>
      </c>
      <c r="K35" s="9" t="s">
        <v>483</v>
      </c>
      <c r="L35" s="9" t="s">
        <v>1395</v>
      </c>
      <c r="M35" s="9" t="s">
        <v>484</v>
      </c>
      <c r="N35" s="9" t="s">
        <v>1395</v>
      </c>
      <c r="O35" s="9" t="s">
        <v>1395</v>
      </c>
      <c r="P35" s="9" t="s">
        <v>485</v>
      </c>
      <c r="Q35">
        <v>6</v>
      </c>
      <c r="R35">
        <v>5</v>
      </c>
      <c r="S35" s="9" t="s">
        <v>67</v>
      </c>
      <c r="T35" s="9" t="s">
        <v>38</v>
      </c>
      <c r="U35" s="9" t="s">
        <v>1395</v>
      </c>
      <c r="V35" s="9" t="s">
        <v>486</v>
      </c>
      <c r="W35" s="9" t="s">
        <v>487</v>
      </c>
      <c r="X35" s="9" t="s">
        <v>488</v>
      </c>
      <c r="Y35" s="9" t="s">
        <v>489</v>
      </c>
      <c r="Z35" s="9" t="s">
        <v>38</v>
      </c>
      <c r="AA35" s="1">
        <v>46208</v>
      </c>
    </row>
    <row r="36" spans="1:27" x14ac:dyDescent="0.25">
      <c r="A36" s="9" t="s">
        <v>238</v>
      </c>
      <c r="B36" s="9" t="s">
        <v>239</v>
      </c>
      <c r="C36" s="10">
        <f>_xlfn.XLOOKUP(_2026[[#This Row],[Artist]], Table3[Artist], Table3[Rating], "",)</f>
        <v>6</v>
      </c>
      <c r="D36" s="9" t="str">
        <f>_xlfn.XLOOKUP(_2026[[#This Row],[Artist]], Table3[Artist], Table3[Notes], "",)</f>
        <v>Pffff, de Staat van Ontbinding</v>
      </c>
      <c r="E36" s="1">
        <v>46206</v>
      </c>
      <c r="F36" s="2">
        <v>0.94791666666666663</v>
      </c>
      <c r="G36" s="2">
        <v>0.98958333333333337</v>
      </c>
      <c r="H36" s="9" t="s">
        <v>100</v>
      </c>
      <c r="I36" s="9" t="s">
        <v>240</v>
      </c>
      <c r="J36" s="9" t="s">
        <v>162</v>
      </c>
      <c r="K36" s="9" t="s">
        <v>241</v>
      </c>
      <c r="L36" s="9" t="s">
        <v>242</v>
      </c>
      <c r="M36" s="9" t="s">
        <v>243</v>
      </c>
      <c r="N36" s="9" t="s">
        <v>1395</v>
      </c>
      <c r="O36" s="9" t="s">
        <v>1395</v>
      </c>
      <c r="P36" s="9" t="s">
        <v>244</v>
      </c>
      <c r="Q36">
        <v>8</v>
      </c>
      <c r="R36">
        <v>5</v>
      </c>
      <c r="S36" s="9" t="s">
        <v>67</v>
      </c>
      <c r="T36" s="9" t="s">
        <v>35</v>
      </c>
      <c r="U36" s="9" t="s">
        <v>1395</v>
      </c>
      <c r="V36" s="9" t="s">
        <v>245</v>
      </c>
      <c r="W36" s="9" t="s">
        <v>1434</v>
      </c>
      <c r="X36" s="9" t="s">
        <v>1435</v>
      </c>
      <c r="Y36" s="9" t="s">
        <v>246</v>
      </c>
      <c r="Z36" s="9" t="s">
        <v>38</v>
      </c>
      <c r="AA36" s="1">
        <v>46206</v>
      </c>
    </row>
    <row r="37" spans="1:27" x14ac:dyDescent="0.25">
      <c r="A37" s="9" t="s">
        <v>1073</v>
      </c>
      <c r="B37" s="9" t="s">
        <v>1074</v>
      </c>
      <c r="C37" s="10">
        <f>_xlfn.XLOOKUP(_2026[[#This Row],[Artist]], Table3[Artist], Table3[Rating], "",)</f>
        <v>0</v>
      </c>
      <c r="D37" s="9">
        <f>_xlfn.XLOOKUP(_2026[[#This Row],[Artist]], Table3[Artist], Table3[Notes], "",)</f>
        <v>0</v>
      </c>
      <c r="E37" s="1">
        <v>46207</v>
      </c>
      <c r="F37" s="2">
        <v>0.72916666666666663</v>
      </c>
      <c r="G37" s="2">
        <v>0.76041666666666663</v>
      </c>
      <c r="H37" s="9" t="s">
        <v>1062</v>
      </c>
      <c r="I37" s="9" t="s">
        <v>1075</v>
      </c>
      <c r="J37" s="9" t="s">
        <v>162</v>
      </c>
      <c r="K37" s="9" t="s">
        <v>1076</v>
      </c>
      <c r="L37" s="9" t="s">
        <v>1395</v>
      </c>
      <c r="M37" s="9" t="s">
        <v>1077</v>
      </c>
      <c r="N37" s="9" t="s">
        <v>1395</v>
      </c>
      <c r="O37" s="9" t="s">
        <v>1395</v>
      </c>
      <c r="P37" s="9" t="s">
        <v>1395</v>
      </c>
      <c r="R37">
        <v>3</v>
      </c>
      <c r="S37" s="9" t="s">
        <v>1395</v>
      </c>
      <c r="T37" s="9" t="s">
        <v>1395</v>
      </c>
      <c r="U37" s="9" t="s">
        <v>1395</v>
      </c>
      <c r="V37" s="9" t="s">
        <v>1078</v>
      </c>
      <c r="W37" s="9" t="s">
        <v>1079</v>
      </c>
      <c r="X37" s="9" t="s">
        <v>1080</v>
      </c>
      <c r="Y37" s="9" t="s">
        <v>1081</v>
      </c>
      <c r="Z37" s="9" t="s">
        <v>38</v>
      </c>
      <c r="AA37" s="1">
        <v>46207</v>
      </c>
    </row>
    <row r="38" spans="1:27" x14ac:dyDescent="0.25">
      <c r="A38" s="9" t="s">
        <v>335</v>
      </c>
      <c r="B38" s="9" t="s">
        <v>336</v>
      </c>
      <c r="C38" s="10">
        <f>_xlfn.XLOOKUP(_2026[[#This Row],[Artist]], Table3[Artist], Table3[Rating], "",)</f>
        <v>0</v>
      </c>
      <c r="D38" s="9">
        <f>_xlfn.XLOOKUP(_2026[[#This Row],[Artist]], Table3[Artist], Table3[Notes], "",)</f>
        <v>0</v>
      </c>
      <c r="E38" s="1">
        <v>46208</v>
      </c>
      <c r="F38" s="2">
        <v>0.77083333333333337</v>
      </c>
      <c r="G38" s="2">
        <v>0.8125</v>
      </c>
      <c r="H38" s="9" t="s">
        <v>111</v>
      </c>
      <c r="I38" s="9" t="s">
        <v>1816</v>
      </c>
      <c r="J38" s="9" t="s">
        <v>337</v>
      </c>
      <c r="K38" s="9" t="s">
        <v>338</v>
      </c>
      <c r="L38" s="9" t="s">
        <v>1395</v>
      </c>
      <c r="M38" s="9" t="s">
        <v>339</v>
      </c>
      <c r="N38" s="9" t="s">
        <v>1395</v>
      </c>
      <c r="O38" s="9" t="s">
        <v>1395</v>
      </c>
      <c r="P38" s="9" t="s">
        <v>340</v>
      </c>
      <c r="Q38">
        <v>7</v>
      </c>
      <c r="R38">
        <v>2</v>
      </c>
      <c r="S38" s="9" t="s">
        <v>67</v>
      </c>
      <c r="T38" s="9" t="s">
        <v>38</v>
      </c>
      <c r="U38" s="9" t="s">
        <v>1395</v>
      </c>
      <c r="V38" s="9" t="s">
        <v>341</v>
      </c>
      <c r="W38" s="9" t="s">
        <v>1459</v>
      </c>
      <c r="X38" s="9" t="s">
        <v>342</v>
      </c>
      <c r="Y38" s="9" t="s">
        <v>343</v>
      </c>
      <c r="Z38" s="9" t="s">
        <v>38</v>
      </c>
      <c r="AA38" s="1">
        <v>46208</v>
      </c>
    </row>
    <row r="39" spans="1:27" x14ac:dyDescent="0.25">
      <c r="A39" s="9" t="s">
        <v>1161</v>
      </c>
      <c r="B39" s="9" t="s">
        <v>1692</v>
      </c>
      <c r="C39" s="10">
        <f>_xlfn.XLOOKUP(_2026[[#This Row],[Artist]], Table3[Artist], Table3[Rating], "",)</f>
        <v>0</v>
      </c>
      <c r="D39" s="9">
        <f>_xlfn.XLOOKUP(_2026[[#This Row],[Artist]], Table3[Artist], Table3[Notes], "",)</f>
        <v>0</v>
      </c>
      <c r="E39" s="1">
        <v>46206</v>
      </c>
      <c r="F39" s="2">
        <v>0.54166666666666663</v>
      </c>
      <c r="G39" s="2">
        <v>0.57291666666666663</v>
      </c>
      <c r="H39" s="9" t="s">
        <v>408</v>
      </c>
      <c r="I39" s="9" t="s">
        <v>1162</v>
      </c>
      <c r="J39" s="9" t="s">
        <v>143</v>
      </c>
      <c r="K39" s="9" t="s">
        <v>1693</v>
      </c>
      <c r="L39" s="9" t="s">
        <v>1395</v>
      </c>
      <c r="M39" s="9" t="s">
        <v>1163</v>
      </c>
      <c r="N39" s="9" t="s">
        <v>1395</v>
      </c>
      <c r="O39" s="9" t="s">
        <v>1395</v>
      </c>
      <c r="P39" s="9" t="s">
        <v>1395</v>
      </c>
      <c r="R39">
        <v>1</v>
      </c>
      <c r="S39" s="9" t="s">
        <v>575</v>
      </c>
      <c r="T39" s="9" t="s">
        <v>1395</v>
      </c>
      <c r="U39" s="9" t="s">
        <v>1395</v>
      </c>
      <c r="V39" s="9" t="s">
        <v>1164</v>
      </c>
      <c r="W39" s="9" t="s">
        <v>1694</v>
      </c>
      <c r="X39" s="9" t="s">
        <v>1695</v>
      </c>
      <c r="Y39" s="9" t="s">
        <v>1165</v>
      </c>
      <c r="Z39" s="9" t="s">
        <v>38</v>
      </c>
      <c r="AA39" s="1">
        <v>46206</v>
      </c>
    </row>
    <row r="40" spans="1:27" x14ac:dyDescent="0.25">
      <c r="A40" s="9" t="s">
        <v>1460</v>
      </c>
      <c r="B40" s="9" t="s">
        <v>344</v>
      </c>
      <c r="C40" s="10">
        <f>_xlfn.XLOOKUP(_2026[[#This Row],[Artist]], Table3[Artist], Table3[Rating], "",)</f>
        <v>10</v>
      </c>
      <c r="D40" s="9" t="str">
        <f>_xlfn.XLOOKUP(_2026[[#This Row],[Artist]], Table3[Artist], Table3[Notes], "",)</f>
        <v>Al gezien op Footprints 2025. Aanrader, dansbaar.</v>
      </c>
      <c r="E40" s="1">
        <v>46208</v>
      </c>
      <c r="F40" s="2">
        <v>0.60416666666666663</v>
      </c>
      <c r="G40" s="2">
        <v>0.64583333333333337</v>
      </c>
      <c r="H40" s="9" t="s">
        <v>111</v>
      </c>
      <c r="I40" s="9" t="s">
        <v>345</v>
      </c>
      <c r="J40" s="9" t="s">
        <v>346</v>
      </c>
      <c r="K40" s="9" t="s">
        <v>1461</v>
      </c>
      <c r="L40" s="9" t="s">
        <v>347</v>
      </c>
      <c r="M40" s="9" t="s">
        <v>348</v>
      </c>
      <c r="N40" s="9" t="s">
        <v>1395</v>
      </c>
      <c r="O40" s="9" t="s">
        <v>1395</v>
      </c>
      <c r="P40" s="9" t="s">
        <v>349</v>
      </c>
      <c r="Q40">
        <v>7</v>
      </c>
      <c r="R40">
        <v>5</v>
      </c>
      <c r="S40" s="9" t="s">
        <v>34</v>
      </c>
      <c r="T40" s="9" t="s">
        <v>38</v>
      </c>
      <c r="U40" s="9" t="s">
        <v>1395</v>
      </c>
      <c r="V40" s="9" t="s">
        <v>350</v>
      </c>
      <c r="W40" s="9" t="s">
        <v>1462</v>
      </c>
      <c r="X40" s="9" t="s">
        <v>1463</v>
      </c>
      <c r="Y40" s="9" t="s">
        <v>351</v>
      </c>
      <c r="Z40" s="9" t="s">
        <v>38</v>
      </c>
      <c r="AA40" s="1">
        <v>46208</v>
      </c>
    </row>
    <row r="41" spans="1:27" x14ac:dyDescent="0.25">
      <c r="A41" s="9" t="s">
        <v>1348</v>
      </c>
      <c r="B41" s="9" t="s">
        <v>1349</v>
      </c>
      <c r="C41" s="10">
        <f>_xlfn.XLOOKUP(_2026[[#This Row],[Artist]], Table3[Artist], Table3[Rating], "",)</f>
        <v>0</v>
      </c>
      <c r="D41" s="9">
        <f>_xlfn.XLOOKUP(_2026[[#This Row],[Artist]], Table3[Artist], Table3[Notes], "",)</f>
        <v>0</v>
      </c>
      <c r="E41" s="1">
        <v>46206</v>
      </c>
      <c r="F41" s="2">
        <v>0.60416666666666663</v>
      </c>
      <c r="G41" s="2">
        <v>0.91666666666666663</v>
      </c>
      <c r="H41" s="9" t="s">
        <v>1342</v>
      </c>
      <c r="I41" s="9" t="s">
        <v>1849</v>
      </c>
      <c r="J41" s="9" t="s">
        <v>1350</v>
      </c>
      <c r="K41" s="9" t="s">
        <v>1351</v>
      </c>
      <c r="L41" s="9" t="s">
        <v>1395</v>
      </c>
      <c r="M41" s="9" t="s">
        <v>432</v>
      </c>
      <c r="N41" s="9" t="s">
        <v>1395</v>
      </c>
      <c r="O41" s="9" t="s">
        <v>1395</v>
      </c>
      <c r="P41" s="9" t="s">
        <v>1395</v>
      </c>
      <c r="S41" s="9" t="s">
        <v>1395</v>
      </c>
      <c r="T41" s="9" t="s">
        <v>1395</v>
      </c>
      <c r="U41" s="9" t="s">
        <v>1395</v>
      </c>
      <c r="V41" s="9" t="s">
        <v>1352</v>
      </c>
      <c r="W41" s="9" t="s">
        <v>1353</v>
      </c>
      <c r="X41" s="9" t="s">
        <v>1354</v>
      </c>
      <c r="Y41" s="9" t="s">
        <v>1355</v>
      </c>
      <c r="Z41" s="9" t="s">
        <v>38</v>
      </c>
      <c r="AA41" s="1">
        <v>46206</v>
      </c>
    </row>
    <row r="42" spans="1:27" x14ac:dyDescent="0.25">
      <c r="A42" s="9" t="s">
        <v>779</v>
      </c>
      <c r="B42" s="9" t="s">
        <v>1553</v>
      </c>
      <c r="C42" s="10">
        <f>_xlfn.XLOOKUP(_2026[[#This Row],[Artist]], Table3[Artist], Table3[Rating], "",)</f>
        <v>0</v>
      </c>
      <c r="D42" s="9">
        <f>_xlfn.XLOOKUP(_2026[[#This Row],[Artist]], Table3[Artist], Table3[Notes], "",)</f>
        <v>0</v>
      </c>
      <c r="E42" s="1">
        <v>46208</v>
      </c>
      <c r="F42" s="2">
        <v>8.3333333333333329E-2</v>
      </c>
      <c r="G42" s="2">
        <v>0.14583333333333334</v>
      </c>
      <c r="H42" s="9" t="s">
        <v>743</v>
      </c>
      <c r="I42" s="9" t="s">
        <v>780</v>
      </c>
      <c r="J42" s="9" t="s">
        <v>781</v>
      </c>
      <c r="K42" s="9" t="s">
        <v>1554</v>
      </c>
      <c r="L42" s="9" t="s">
        <v>1395</v>
      </c>
      <c r="M42" s="9" t="s">
        <v>782</v>
      </c>
      <c r="N42" s="9" t="s">
        <v>1395</v>
      </c>
      <c r="O42" s="9" t="s">
        <v>1395</v>
      </c>
      <c r="P42" s="9" t="s">
        <v>1395</v>
      </c>
      <c r="R42">
        <v>1</v>
      </c>
      <c r="S42" s="9" t="s">
        <v>67</v>
      </c>
      <c r="T42" s="9" t="s">
        <v>1395</v>
      </c>
      <c r="U42" s="9" t="s">
        <v>1395</v>
      </c>
      <c r="V42" s="9" t="s">
        <v>783</v>
      </c>
      <c r="W42" s="9" t="s">
        <v>1555</v>
      </c>
      <c r="X42" s="9" t="s">
        <v>1556</v>
      </c>
      <c r="Y42" s="9" t="s">
        <v>784</v>
      </c>
      <c r="Z42" s="9" t="s">
        <v>38</v>
      </c>
      <c r="AA42" s="1">
        <v>46208</v>
      </c>
    </row>
    <row r="43" spans="1:27" x14ac:dyDescent="0.25">
      <c r="A43" s="9" t="s">
        <v>1864</v>
      </c>
      <c r="B43" s="9" t="s">
        <v>1865</v>
      </c>
      <c r="C43" s="10" t="str">
        <f>_xlfn.XLOOKUP(_2026[[#This Row],[Artist]], Table3[Artist], Table3[Rating], "",)</f>
        <v/>
      </c>
      <c r="D43" s="9" t="str">
        <f>_xlfn.XLOOKUP(_2026[[#This Row],[Artist]], Table3[Artist], Table3[Notes], "",)</f>
        <v/>
      </c>
      <c r="E43" s="1">
        <v>46208</v>
      </c>
      <c r="F43" s="2">
        <v>0.125</v>
      </c>
      <c r="G43" s="2">
        <v>0.1875</v>
      </c>
      <c r="H43" s="9" t="s">
        <v>111</v>
      </c>
      <c r="I43" s="9" t="s">
        <v>1866</v>
      </c>
      <c r="J43" s="9" t="s">
        <v>74</v>
      </c>
      <c r="K43" s="9" t="s">
        <v>1867</v>
      </c>
      <c r="L43" s="9" t="s">
        <v>1395</v>
      </c>
      <c r="M43" s="9" t="s">
        <v>1868</v>
      </c>
      <c r="N43" s="9" t="s">
        <v>1395</v>
      </c>
      <c r="O43" s="9" t="s">
        <v>1395</v>
      </c>
      <c r="P43" s="9" t="s">
        <v>1869</v>
      </c>
      <c r="Q43">
        <v>7</v>
      </c>
      <c r="S43" s="9" t="s">
        <v>67</v>
      </c>
      <c r="T43" s="9" t="s">
        <v>35</v>
      </c>
      <c r="U43" s="9" t="s">
        <v>1395</v>
      </c>
      <c r="V43" s="9" t="s">
        <v>1870</v>
      </c>
      <c r="W43" s="9" t="s">
        <v>1871</v>
      </c>
      <c r="X43" s="9" t="s">
        <v>1872</v>
      </c>
      <c r="Y43" s="9" t="s">
        <v>1873</v>
      </c>
      <c r="Z43" s="9" t="s">
        <v>38</v>
      </c>
      <c r="AA43" s="1">
        <v>46208</v>
      </c>
    </row>
    <row r="44" spans="1:27" x14ac:dyDescent="0.25">
      <c r="A44" s="9" t="s">
        <v>1264</v>
      </c>
      <c r="B44" s="9" t="s">
        <v>1265</v>
      </c>
      <c r="C44" s="10">
        <f>_xlfn.XLOOKUP(_2026[[#This Row],[Artist]], Table3[Artist], Table3[Rating], "",)</f>
        <v>0</v>
      </c>
      <c r="D44" s="9">
        <f>_xlfn.XLOOKUP(_2026[[#This Row],[Artist]], Table3[Artist], Table3[Notes], "",)</f>
        <v>0</v>
      </c>
      <c r="E44" s="1">
        <v>46207</v>
      </c>
      <c r="F44" s="2">
        <v>0.94791666666666663</v>
      </c>
      <c r="G44" s="2">
        <v>2.0833333333333332E-2</v>
      </c>
      <c r="H44" s="9" t="s">
        <v>1843</v>
      </c>
      <c r="I44" s="9" t="s">
        <v>1395</v>
      </c>
      <c r="J44" s="9" t="s">
        <v>162</v>
      </c>
      <c r="K44" s="9" t="s">
        <v>1733</v>
      </c>
      <c r="L44" s="9" t="s">
        <v>1395</v>
      </c>
      <c r="M44" s="9" t="s">
        <v>432</v>
      </c>
      <c r="N44" s="9" t="s">
        <v>1395</v>
      </c>
      <c r="O44" s="9" t="s">
        <v>1395</v>
      </c>
      <c r="P44" s="9" t="s">
        <v>1395</v>
      </c>
      <c r="R44">
        <v>1</v>
      </c>
      <c r="S44" s="9" t="s">
        <v>996</v>
      </c>
      <c r="T44" s="9" t="s">
        <v>1395</v>
      </c>
      <c r="U44" s="9" t="s">
        <v>1395</v>
      </c>
      <c r="V44" s="9" t="s">
        <v>1266</v>
      </c>
      <c r="W44" s="9" t="s">
        <v>1267</v>
      </c>
      <c r="X44" s="9" t="s">
        <v>1734</v>
      </c>
      <c r="Y44" s="9" t="s">
        <v>1268</v>
      </c>
      <c r="Z44" s="9" t="s">
        <v>38</v>
      </c>
      <c r="AA44" s="1">
        <v>46208</v>
      </c>
    </row>
    <row r="45" spans="1:27" x14ac:dyDescent="0.25">
      <c r="A45" s="9" t="s">
        <v>785</v>
      </c>
      <c r="B45" s="9" t="s">
        <v>786</v>
      </c>
      <c r="C45" s="10">
        <f>_xlfn.XLOOKUP(_2026[[#This Row],[Artist]], Table3[Artist], Table3[Rating], "",)</f>
        <v>0</v>
      </c>
      <c r="D45" s="9">
        <f>_xlfn.XLOOKUP(_2026[[#This Row],[Artist]], Table3[Artist], Table3[Notes], "",)</f>
        <v>0</v>
      </c>
      <c r="E45" s="1">
        <v>46208</v>
      </c>
      <c r="F45" s="2">
        <v>0.875</v>
      </c>
      <c r="G45" s="2">
        <v>0.9375</v>
      </c>
      <c r="H45" s="9" t="s">
        <v>743</v>
      </c>
      <c r="I45" s="9" t="s">
        <v>787</v>
      </c>
      <c r="J45" s="9" t="s">
        <v>788</v>
      </c>
      <c r="K45" s="9" t="s">
        <v>1557</v>
      </c>
      <c r="L45" s="9" t="s">
        <v>1395</v>
      </c>
      <c r="M45" s="9" t="s">
        <v>789</v>
      </c>
      <c r="N45" s="9" t="s">
        <v>1395</v>
      </c>
      <c r="O45" s="9" t="s">
        <v>1395</v>
      </c>
      <c r="P45" s="9" t="s">
        <v>1395</v>
      </c>
      <c r="R45">
        <v>1</v>
      </c>
      <c r="S45" s="9" t="s">
        <v>1395</v>
      </c>
      <c r="T45" s="9" t="s">
        <v>38</v>
      </c>
      <c r="U45" s="9" t="s">
        <v>1395</v>
      </c>
      <c r="V45" s="9" t="s">
        <v>790</v>
      </c>
      <c r="W45" s="9" t="s">
        <v>1558</v>
      </c>
      <c r="X45" s="9" t="s">
        <v>1559</v>
      </c>
      <c r="Y45" s="9" t="s">
        <v>791</v>
      </c>
      <c r="Z45" s="9" t="s">
        <v>38</v>
      </c>
      <c r="AA45" s="1">
        <v>46208</v>
      </c>
    </row>
    <row r="46" spans="1:27" x14ac:dyDescent="0.25">
      <c r="A46" s="9" t="s">
        <v>792</v>
      </c>
      <c r="B46" s="9" t="s">
        <v>793</v>
      </c>
      <c r="C46" s="10">
        <f>_xlfn.XLOOKUP(_2026[[#This Row],[Artist]], Table3[Artist], Table3[Rating], "",)</f>
        <v>0</v>
      </c>
      <c r="D46" s="9">
        <f>_xlfn.XLOOKUP(_2026[[#This Row],[Artist]], Table3[Artist], Table3[Notes], "",)</f>
        <v>0</v>
      </c>
      <c r="E46" s="1">
        <v>46207</v>
      </c>
      <c r="F46" s="2">
        <v>0.91666666666666663</v>
      </c>
      <c r="G46" s="2">
        <v>0.95833333333333337</v>
      </c>
      <c r="H46" s="9" t="s">
        <v>743</v>
      </c>
      <c r="I46" s="9" t="s">
        <v>794</v>
      </c>
      <c r="J46" s="9" t="s">
        <v>795</v>
      </c>
      <c r="K46" s="9" t="s">
        <v>796</v>
      </c>
      <c r="L46" s="9" t="s">
        <v>1395</v>
      </c>
      <c r="M46" s="9" t="s">
        <v>797</v>
      </c>
      <c r="N46" s="9" t="s">
        <v>1395</v>
      </c>
      <c r="O46" s="9" t="s">
        <v>1395</v>
      </c>
      <c r="P46" s="9" t="s">
        <v>798</v>
      </c>
      <c r="Q46">
        <v>7</v>
      </c>
      <c r="S46" s="9" t="s">
        <v>67</v>
      </c>
      <c r="T46" s="9" t="s">
        <v>38</v>
      </c>
      <c r="U46" s="9" t="s">
        <v>1395</v>
      </c>
      <c r="V46" s="9" t="s">
        <v>799</v>
      </c>
      <c r="W46" s="9" t="s">
        <v>1560</v>
      </c>
      <c r="X46" s="9" t="s">
        <v>800</v>
      </c>
      <c r="Y46" s="9" t="s">
        <v>801</v>
      </c>
      <c r="Z46" s="9" t="s">
        <v>38</v>
      </c>
      <c r="AA46" s="1">
        <v>46207</v>
      </c>
    </row>
    <row r="47" spans="1:27" x14ac:dyDescent="0.25">
      <c r="A47" s="9" t="s">
        <v>1233</v>
      </c>
      <c r="B47" s="9" t="s">
        <v>1234</v>
      </c>
      <c r="C47" s="10">
        <f>_xlfn.XLOOKUP(_2026[[#This Row],[Artist]], Table3[Artist], Table3[Rating], "",)</f>
        <v>0</v>
      </c>
      <c r="D47" s="9">
        <f>_xlfn.XLOOKUP(_2026[[#This Row],[Artist]], Table3[Artist], Table3[Notes], "",)</f>
        <v>0</v>
      </c>
      <c r="E47" s="1">
        <v>46207</v>
      </c>
      <c r="F47" s="2">
        <v>0.4375</v>
      </c>
      <c r="G47" s="2">
        <v>0.46875</v>
      </c>
      <c r="H47" s="9" t="s">
        <v>408</v>
      </c>
      <c r="I47" s="9" t="s">
        <v>1395</v>
      </c>
      <c r="J47" s="9" t="s">
        <v>1395</v>
      </c>
      <c r="K47" s="9" t="s">
        <v>1716</v>
      </c>
      <c r="L47" s="9" t="s">
        <v>1395</v>
      </c>
      <c r="M47" s="9" t="s">
        <v>1235</v>
      </c>
      <c r="N47" s="9" t="s">
        <v>1395</v>
      </c>
      <c r="O47" s="9" t="s">
        <v>1395</v>
      </c>
      <c r="P47" s="9" t="s">
        <v>1395</v>
      </c>
      <c r="R47">
        <v>1</v>
      </c>
      <c r="S47" s="9" t="s">
        <v>1395</v>
      </c>
      <c r="T47" s="9" t="s">
        <v>38</v>
      </c>
      <c r="U47" s="9" t="s">
        <v>1395</v>
      </c>
      <c r="V47" s="9" t="s">
        <v>1236</v>
      </c>
      <c r="W47" s="9" t="s">
        <v>1717</v>
      </c>
      <c r="X47" s="9" t="s">
        <v>1718</v>
      </c>
      <c r="Y47" s="9" t="s">
        <v>1237</v>
      </c>
      <c r="Z47" s="9" t="s">
        <v>38</v>
      </c>
      <c r="AA47" s="1">
        <v>46207</v>
      </c>
    </row>
    <row r="48" spans="1:27" x14ac:dyDescent="0.25">
      <c r="A48" s="9" t="s">
        <v>597</v>
      </c>
      <c r="B48" s="9" t="s">
        <v>598</v>
      </c>
      <c r="C48" s="10">
        <f>_xlfn.XLOOKUP(_2026[[#This Row],[Artist]], Table3[Artist], Table3[Rating], "",)</f>
        <v>0</v>
      </c>
      <c r="D48" s="9">
        <f>_xlfn.XLOOKUP(_2026[[#This Row],[Artist]], Table3[Artist], Table3[Notes], "",)</f>
        <v>0</v>
      </c>
      <c r="E48" s="1">
        <v>46207</v>
      </c>
      <c r="F48" s="2">
        <v>0.10416666666666667</v>
      </c>
      <c r="G48" s="2">
        <v>0.1875</v>
      </c>
      <c r="H48" s="9" t="s">
        <v>547</v>
      </c>
      <c r="I48" s="9" t="s">
        <v>1819</v>
      </c>
      <c r="J48" s="9" t="s">
        <v>162</v>
      </c>
      <c r="K48" s="9" t="s">
        <v>599</v>
      </c>
      <c r="L48" s="9" t="s">
        <v>1395</v>
      </c>
      <c r="M48" s="9" t="s">
        <v>600</v>
      </c>
      <c r="N48" s="9" t="s">
        <v>1395</v>
      </c>
      <c r="O48" s="9" t="s">
        <v>1395</v>
      </c>
      <c r="P48" s="9" t="s">
        <v>1395</v>
      </c>
      <c r="R48">
        <v>2</v>
      </c>
      <c r="S48" s="9" t="s">
        <v>1395</v>
      </c>
      <c r="T48" s="9" t="s">
        <v>1395</v>
      </c>
      <c r="U48" s="9" t="s">
        <v>1395</v>
      </c>
      <c r="V48" s="9" t="s">
        <v>601</v>
      </c>
      <c r="W48" s="9" t="s">
        <v>1501</v>
      </c>
      <c r="X48" s="9" t="s">
        <v>602</v>
      </c>
      <c r="Y48" s="9" t="s">
        <v>603</v>
      </c>
      <c r="Z48" s="9" t="s">
        <v>38</v>
      </c>
      <c r="AA48" s="1">
        <v>46207</v>
      </c>
    </row>
    <row r="49" spans="1:27" x14ac:dyDescent="0.25">
      <c r="A49" s="9" t="s">
        <v>604</v>
      </c>
      <c r="B49" s="9" t="s">
        <v>605</v>
      </c>
      <c r="C49" s="10">
        <f>_xlfn.XLOOKUP(_2026[[#This Row],[Artist]], Table3[Artist], Table3[Rating], "",)</f>
        <v>0</v>
      </c>
      <c r="D49" s="9">
        <f>_xlfn.XLOOKUP(_2026[[#This Row],[Artist]], Table3[Artist], Table3[Notes], "",)</f>
        <v>0</v>
      </c>
      <c r="E49" s="1">
        <v>46209</v>
      </c>
      <c r="F49" s="2">
        <v>0.10416666666666667</v>
      </c>
      <c r="G49" s="2">
        <v>0.1875</v>
      </c>
      <c r="H49" s="9" t="s">
        <v>547</v>
      </c>
      <c r="I49" s="9" t="s">
        <v>606</v>
      </c>
      <c r="J49" s="9" t="s">
        <v>607</v>
      </c>
      <c r="K49" s="9" t="s">
        <v>608</v>
      </c>
      <c r="L49" s="9" t="s">
        <v>1395</v>
      </c>
      <c r="M49" s="9" t="s">
        <v>609</v>
      </c>
      <c r="N49" s="9" t="s">
        <v>1395</v>
      </c>
      <c r="O49" s="9" t="s">
        <v>1395</v>
      </c>
      <c r="P49" s="9" t="s">
        <v>610</v>
      </c>
      <c r="Q49">
        <v>7</v>
      </c>
      <c r="S49" s="9" t="s">
        <v>34</v>
      </c>
      <c r="T49" s="9" t="s">
        <v>35</v>
      </c>
      <c r="U49" s="9" t="s">
        <v>1395</v>
      </c>
      <c r="V49" s="9" t="s">
        <v>611</v>
      </c>
      <c r="W49" s="9" t="s">
        <v>1502</v>
      </c>
      <c r="X49" s="9" t="s">
        <v>1503</v>
      </c>
      <c r="Y49" s="9" t="s">
        <v>612</v>
      </c>
      <c r="Z49" s="9" t="s">
        <v>38</v>
      </c>
      <c r="AA49" s="1">
        <v>46209</v>
      </c>
    </row>
    <row r="50" spans="1:27" x14ac:dyDescent="0.25">
      <c r="A50" s="9" t="s">
        <v>1269</v>
      </c>
      <c r="B50" s="9" t="s">
        <v>1270</v>
      </c>
      <c r="C50" s="10">
        <f>_xlfn.XLOOKUP(_2026[[#This Row],[Artist]], Table3[Artist], Table3[Rating], "",)</f>
        <v>0</v>
      </c>
      <c r="D50" s="9">
        <f>_xlfn.XLOOKUP(_2026[[#This Row],[Artist]], Table3[Artist], Table3[Notes], "",)</f>
        <v>0</v>
      </c>
      <c r="E50" s="1">
        <v>46209</v>
      </c>
      <c r="F50" s="2">
        <v>1.0416666666666666E-2</v>
      </c>
      <c r="G50" s="2">
        <v>7.2916666666666671E-2</v>
      </c>
      <c r="H50" s="9" t="s">
        <v>1843</v>
      </c>
      <c r="I50" s="9" t="s">
        <v>675</v>
      </c>
      <c r="J50" s="9" t="s">
        <v>458</v>
      </c>
      <c r="K50" s="9" t="s">
        <v>1271</v>
      </c>
      <c r="L50" s="9" t="s">
        <v>1395</v>
      </c>
      <c r="M50" s="9" t="s">
        <v>1272</v>
      </c>
      <c r="N50" s="9" t="s">
        <v>1395</v>
      </c>
      <c r="O50" s="9" t="s">
        <v>1395</v>
      </c>
      <c r="P50" s="9" t="s">
        <v>1273</v>
      </c>
      <c r="Q50">
        <v>7</v>
      </c>
      <c r="S50" s="9" t="s">
        <v>34</v>
      </c>
      <c r="T50" s="9" t="s">
        <v>35</v>
      </c>
      <c r="U50" s="9" t="s">
        <v>1395</v>
      </c>
      <c r="V50" s="9" t="s">
        <v>1274</v>
      </c>
      <c r="W50" s="9" t="s">
        <v>1735</v>
      </c>
      <c r="X50" s="9" t="s">
        <v>1736</v>
      </c>
      <c r="Y50" s="9" t="s">
        <v>1275</v>
      </c>
      <c r="Z50" s="9" t="s">
        <v>38</v>
      </c>
      <c r="AA50" s="1">
        <v>46209</v>
      </c>
    </row>
    <row r="51" spans="1:27" x14ac:dyDescent="0.25">
      <c r="A51" s="9" t="s">
        <v>71</v>
      </c>
      <c r="B51" s="9" t="s">
        <v>72</v>
      </c>
      <c r="C51" s="10">
        <f>_xlfn.XLOOKUP(_2026[[#This Row],[Artist]], Table3[Artist], Table3[Rating], "",)</f>
        <v>7</v>
      </c>
      <c r="D51" s="9" t="str">
        <f>_xlfn.XLOOKUP(_2026[[#This Row],[Artist]], Table3[Artist], Table3[Notes], "",)</f>
        <v>Geen nieuw werk.</v>
      </c>
      <c r="E51" s="1">
        <v>46206</v>
      </c>
      <c r="F51" s="2">
        <v>0.89583333333333337</v>
      </c>
      <c r="G51" s="2">
        <v>0.94791666666666663</v>
      </c>
      <c r="H51" s="9" t="s">
        <v>27</v>
      </c>
      <c r="I51" s="9" t="s">
        <v>73</v>
      </c>
      <c r="J51" s="9" t="s">
        <v>74</v>
      </c>
      <c r="K51" s="9" t="s">
        <v>75</v>
      </c>
      <c r="L51" s="9" t="s">
        <v>76</v>
      </c>
      <c r="M51" s="9" t="s">
        <v>77</v>
      </c>
      <c r="N51" s="9" t="s">
        <v>1395</v>
      </c>
      <c r="O51" s="9" t="s">
        <v>1395</v>
      </c>
      <c r="P51" s="9" t="s">
        <v>78</v>
      </c>
      <c r="Q51">
        <v>8</v>
      </c>
      <c r="R51">
        <v>2</v>
      </c>
      <c r="S51" s="9" t="s">
        <v>67</v>
      </c>
      <c r="T51" s="9" t="s">
        <v>35</v>
      </c>
      <c r="U51" s="9" t="s">
        <v>1395</v>
      </c>
      <c r="V51" s="9" t="s">
        <v>79</v>
      </c>
      <c r="W51" s="9" t="s">
        <v>1402</v>
      </c>
      <c r="X51" s="9" t="s">
        <v>1403</v>
      </c>
      <c r="Y51" s="9" t="s">
        <v>80</v>
      </c>
      <c r="Z51" s="9" t="s">
        <v>38</v>
      </c>
      <c r="AA51" s="1">
        <v>46206</v>
      </c>
    </row>
    <row r="52" spans="1:27" x14ac:dyDescent="0.25">
      <c r="A52" s="9" t="s">
        <v>613</v>
      </c>
      <c r="B52" s="9" t="s">
        <v>614</v>
      </c>
      <c r="C52" s="10">
        <f>_xlfn.XLOOKUP(_2026[[#This Row],[Artist]], Table3[Artist], Table3[Rating], "",)</f>
        <v>0</v>
      </c>
      <c r="D52" s="9">
        <f>_xlfn.XLOOKUP(_2026[[#This Row],[Artist]], Table3[Artist], Table3[Notes], "",)</f>
        <v>0</v>
      </c>
      <c r="E52" s="1">
        <v>46206</v>
      </c>
      <c r="F52" s="2">
        <v>0.79166666666666663</v>
      </c>
      <c r="G52" s="2">
        <v>0.88541666666666663</v>
      </c>
      <c r="H52" s="9" t="s">
        <v>547</v>
      </c>
      <c r="I52" s="9" t="s">
        <v>1820</v>
      </c>
      <c r="J52" s="9" t="s">
        <v>162</v>
      </c>
      <c r="K52" s="9" t="s">
        <v>615</v>
      </c>
      <c r="L52" s="9" t="s">
        <v>1395</v>
      </c>
      <c r="M52" s="9" t="s">
        <v>616</v>
      </c>
      <c r="N52" s="9" t="s">
        <v>1395</v>
      </c>
      <c r="O52" s="9" t="s">
        <v>1395</v>
      </c>
      <c r="P52" s="9" t="s">
        <v>1395</v>
      </c>
      <c r="R52">
        <v>1</v>
      </c>
      <c r="S52" s="9" t="s">
        <v>575</v>
      </c>
      <c r="T52" s="9" t="s">
        <v>1395</v>
      </c>
      <c r="U52" s="9" t="s">
        <v>1395</v>
      </c>
      <c r="V52" s="9" t="s">
        <v>617</v>
      </c>
      <c r="W52" s="9" t="s">
        <v>1504</v>
      </c>
      <c r="X52" s="9" t="s">
        <v>618</v>
      </c>
      <c r="Y52" s="9" t="s">
        <v>619</v>
      </c>
      <c r="Z52" s="9" t="s">
        <v>38</v>
      </c>
      <c r="AA52" s="1">
        <v>46206</v>
      </c>
    </row>
    <row r="53" spans="1:27" x14ac:dyDescent="0.25">
      <c r="A53" s="9" t="s">
        <v>802</v>
      </c>
      <c r="B53" s="9" t="s">
        <v>803</v>
      </c>
      <c r="C53" s="10">
        <f>_xlfn.XLOOKUP(_2026[[#This Row],[Artist]], Table3[Artist], Table3[Rating], "",)</f>
        <v>0</v>
      </c>
      <c r="D53" s="9">
        <f>_xlfn.XLOOKUP(_2026[[#This Row],[Artist]], Table3[Artist], Table3[Notes], "",)</f>
        <v>0</v>
      </c>
      <c r="E53" s="1">
        <v>46206</v>
      </c>
      <c r="F53" s="2">
        <v>0.64583333333333337</v>
      </c>
      <c r="G53" s="2">
        <v>0.70833333333333337</v>
      </c>
      <c r="H53" s="9" t="s">
        <v>743</v>
      </c>
      <c r="I53" s="9" t="s">
        <v>1825</v>
      </c>
      <c r="J53" s="9" t="s">
        <v>281</v>
      </c>
      <c r="K53" s="9" t="s">
        <v>1561</v>
      </c>
      <c r="L53" s="9" t="s">
        <v>1395</v>
      </c>
      <c r="M53" s="9" t="s">
        <v>804</v>
      </c>
      <c r="N53" s="9" t="s">
        <v>1395</v>
      </c>
      <c r="O53" s="9" t="s">
        <v>1395</v>
      </c>
      <c r="P53" s="9" t="s">
        <v>1395</v>
      </c>
      <c r="R53">
        <v>1</v>
      </c>
      <c r="S53" s="9" t="s">
        <v>67</v>
      </c>
      <c r="T53" s="9" t="s">
        <v>1395</v>
      </c>
      <c r="U53" s="9" t="s">
        <v>1395</v>
      </c>
      <c r="V53" s="9" t="s">
        <v>805</v>
      </c>
      <c r="W53" s="9" t="s">
        <v>1562</v>
      </c>
      <c r="X53" s="9" t="s">
        <v>1563</v>
      </c>
      <c r="Y53" s="9" t="s">
        <v>806</v>
      </c>
      <c r="Z53" s="9" t="s">
        <v>38</v>
      </c>
      <c r="AA53" s="1">
        <v>46206</v>
      </c>
    </row>
    <row r="54" spans="1:27" x14ac:dyDescent="0.25">
      <c r="A54" s="9" t="s">
        <v>933</v>
      </c>
      <c r="B54" s="9" t="s">
        <v>934</v>
      </c>
      <c r="C54" s="10">
        <f>_xlfn.XLOOKUP(_2026[[#This Row],[Artist]], Table3[Artist], Table3[Rating], "",)</f>
        <v>0</v>
      </c>
      <c r="D54" s="9">
        <f>_xlfn.XLOOKUP(_2026[[#This Row],[Artist]], Table3[Artist], Table3[Notes], "",)</f>
        <v>0</v>
      </c>
      <c r="E54" s="1">
        <v>46207</v>
      </c>
      <c r="F54" s="2">
        <v>0.70833333333333337</v>
      </c>
      <c r="G54" s="2">
        <v>0.75</v>
      </c>
      <c r="H54" s="9" t="s">
        <v>923</v>
      </c>
      <c r="I54" s="9" t="s">
        <v>935</v>
      </c>
      <c r="J54" s="9" t="s">
        <v>281</v>
      </c>
      <c r="K54" s="9" t="s">
        <v>936</v>
      </c>
      <c r="L54" s="9" t="s">
        <v>1395</v>
      </c>
      <c r="M54" s="9" t="s">
        <v>937</v>
      </c>
      <c r="N54" s="9" t="s">
        <v>1395</v>
      </c>
      <c r="O54" s="9" t="s">
        <v>1395</v>
      </c>
      <c r="P54" s="9" t="s">
        <v>938</v>
      </c>
      <c r="Q54">
        <v>7</v>
      </c>
      <c r="S54" s="9" t="s">
        <v>34</v>
      </c>
      <c r="T54" s="9" t="s">
        <v>38</v>
      </c>
      <c r="U54" s="9" t="s">
        <v>1395</v>
      </c>
      <c r="V54" s="9" t="s">
        <v>939</v>
      </c>
      <c r="W54" s="9" t="s">
        <v>1612</v>
      </c>
      <c r="X54" s="9" t="s">
        <v>1613</v>
      </c>
      <c r="Y54" s="9" t="s">
        <v>940</v>
      </c>
      <c r="Z54" s="9" t="s">
        <v>38</v>
      </c>
      <c r="AA54" s="1">
        <v>46207</v>
      </c>
    </row>
    <row r="55" spans="1:27" x14ac:dyDescent="0.25">
      <c r="A55" s="9" t="s">
        <v>620</v>
      </c>
      <c r="B55" s="9" t="s">
        <v>621</v>
      </c>
      <c r="C55" s="10">
        <f>_xlfn.XLOOKUP(_2026[[#This Row],[Artist]], Table3[Artist], Table3[Rating], "",)</f>
        <v>0</v>
      </c>
      <c r="D55" s="9">
        <f>_xlfn.XLOOKUP(_2026[[#This Row],[Artist]], Table3[Artist], Table3[Notes], "",)</f>
        <v>0</v>
      </c>
      <c r="E55" s="1">
        <v>46208</v>
      </c>
      <c r="F55" s="2">
        <v>0.85416666666666663</v>
      </c>
      <c r="G55" s="2">
        <v>0.9375</v>
      </c>
      <c r="H55" s="9" t="s">
        <v>547</v>
      </c>
      <c r="I55" s="9" t="s">
        <v>1821</v>
      </c>
      <c r="J55" s="9" t="s">
        <v>162</v>
      </c>
      <c r="K55" s="9" t="s">
        <v>622</v>
      </c>
      <c r="L55" s="9" t="s">
        <v>1395</v>
      </c>
      <c r="M55" s="9" t="s">
        <v>432</v>
      </c>
      <c r="N55" s="9" t="s">
        <v>1395</v>
      </c>
      <c r="O55" s="9" t="s">
        <v>1395</v>
      </c>
      <c r="P55" s="9" t="s">
        <v>1395</v>
      </c>
      <c r="R55">
        <v>1</v>
      </c>
      <c r="S55" s="9" t="s">
        <v>1395</v>
      </c>
      <c r="T55" s="9" t="s">
        <v>38</v>
      </c>
      <c r="U55" s="9" t="s">
        <v>1395</v>
      </c>
      <c r="V55" s="9" t="s">
        <v>623</v>
      </c>
      <c r="W55" s="9" t="s">
        <v>624</v>
      </c>
      <c r="X55" s="9" t="s">
        <v>625</v>
      </c>
      <c r="Y55" s="9" t="s">
        <v>626</v>
      </c>
      <c r="Z55" s="9" t="s">
        <v>38</v>
      </c>
      <c r="AA55" s="1">
        <v>46208</v>
      </c>
    </row>
    <row r="56" spans="1:27" x14ac:dyDescent="0.25">
      <c r="A56" s="9" t="s">
        <v>1082</v>
      </c>
      <c r="B56" s="9" t="s">
        <v>1083</v>
      </c>
      <c r="C56" s="10">
        <f>_xlfn.XLOOKUP(_2026[[#This Row],[Artist]], Table3[Artist], Table3[Rating], "",)</f>
        <v>0</v>
      </c>
      <c r="D56" s="9">
        <f>_xlfn.XLOOKUP(_2026[[#This Row],[Artist]], Table3[Artist], Table3[Notes], "",)</f>
        <v>0</v>
      </c>
      <c r="E56" s="1">
        <v>46206</v>
      </c>
      <c r="F56" s="2">
        <v>0.65625</v>
      </c>
      <c r="G56" s="2">
        <v>0.6875</v>
      </c>
      <c r="H56" s="9" t="s">
        <v>1062</v>
      </c>
      <c r="I56" s="9" t="s">
        <v>1084</v>
      </c>
      <c r="J56" s="9" t="s">
        <v>162</v>
      </c>
      <c r="K56" s="9" t="s">
        <v>1649</v>
      </c>
      <c r="L56" s="9" t="s">
        <v>1395</v>
      </c>
      <c r="M56" s="9" t="s">
        <v>1085</v>
      </c>
      <c r="N56" s="9" t="s">
        <v>1395</v>
      </c>
      <c r="O56" s="9" t="s">
        <v>1395</v>
      </c>
      <c r="P56" s="9" t="s">
        <v>1395</v>
      </c>
      <c r="S56" s="9" t="s">
        <v>567</v>
      </c>
      <c r="T56" s="9" t="s">
        <v>1395</v>
      </c>
      <c r="U56" s="9" t="s">
        <v>1395</v>
      </c>
      <c r="V56" s="9" t="s">
        <v>1086</v>
      </c>
      <c r="W56" s="9" t="s">
        <v>1650</v>
      </c>
      <c r="X56" s="9" t="s">
        <v>1651</v>
      </c>
      <c r="Y56" s="9" t="s">
        <v>1087</v>
      </c>
      <c r="Z56" s="9" t="s">
        <v>38</v>
      </c>
      <c r="AA56" s="1">
        <v>46206</v>
      </c>
    </row>
    <row r="57" spans="1:27" x14ac:dyDescent="0.25">
      <c r="A57" s="9" t="s">
        <v>25</v>
      </c>
      <c r="B57" s="9" t="s">
        <v>26</v>
      </c>
      <c r="C57" s="10">
        <f>_xlfn.XLOOKUP(_2026[[#This Row],[Artist]], Table3[Artist], Table3[Rating], "",)</f>
        <v>8</v>
      </c>
      <c r="D57" s="9" t="str">
        <f>_xlfn.XLOOKUP(_2026[[#This Row],[Artist]], Table3[Artist], Table3[Notes], "",)</f>
        <v>Tour van eerste album nog in Paradiso gezien, daarna nooit meer!</v>
      </c>
      <c r="E57" s="1">
        <v>46208</v>
      </c>
      <c r="F57" s="2">
        <v>0.89236111111111116</v>
      </c>
      <c r="G57" s="2">
        <v>0.95486111111111116</v>
      </c>
      <c r="H57" s="9" t="s">
        <v>27</v>
      </c>
      <c r="I57" s="9" t="s">
        <v>28</v>
      </c>
      <c r="J57" s="9" t="s">
        <v>29</v>
      </c>
      <c r="K57" s="9" t="s">
        <v>30</v>
      </c>
      <c r="L57" s="9" t="s">
        <v>31</v>
      </c>
      <c r="M57" s="9" t="s">
        <v>32</v>
      </c>
      <c r="N57" s="9" t="s">
        <v>1395</v>
      </c>
      <c r="O57" s="9" t="s">
        <v>1395</v>
      </c>
      <c r="P57" s="9" t="s">
        <v>33</v>
      </c>
      <c r="Q57">
        <v>9</v>
      </c>
      <c r="S57" s="9" t="s">
        <v>34</v>
      </c>
      <c r="T57" s="9" t="s">
        <v>35</v>
      </c>
      <c r="U57" s="9" t="s">
        <v>1395</v>
      </c>
      <c r="V57" s="9" t="s">
        <v>36</v>
      </c>
      <c r="W57" s="9" t="s">
        <v>1396</v>
      </c>
      <c r="X57" s="9" t="s">
        <v>1397</v>
      </c>
      <c r="Y57" s="9" t="s">
        <v>37</v>
      </c>
      <c r="Z57" s="9" t="s">
        <v>38</v>
      </c>
      <c r="AA57" s="1">
        <v>46208</v>
      </c>
    </row>
    <row r="58" spans="1:27" x14ac:dyDescent="0.25">
      <c r="A58" s="9" t="s">
        <v>352</v>
      </c>
      <c r="B58" s="9" t="s">
        <v>353</v>
      </c>
      <c r="C58" s="10">
        <f>_xlfn.XLOOKUP(_2026[[#This Row],[Artist]], Table3[Artist], Table3[Rating], "",)</f>
        <v>7</v>
      </c>
      <c r="D58" s="9" t="str">
        <f>_xlfn.XLOOKUP(_2026[[#This Row],[Artist]], Table3[Artist], Table3[Notes], "",)</f>
        <v>De grungy Olivia Rodrigo</v>
      </c>
      <c r="E58" s="1">
        <v>46206</v>
      </c>
      <c r="F58" s="2">
        <v>0.6875</v>
      </c>
      <c r="G58" s="2">
        <v>0.72916666666666663</v>
      </c>
      <c r="H58" s="9" t="s">
        <v>111</v>
      </c>
      <c r="I58" s="9" t="s">
        <v>354</v>
      </c>
      <c r="J58" s="9" t="s">
        <v>133</v>
      </c>
      <c r="K58" s="9" t="s">
        <v>355</v>
      </c>
      <c r="L58" s="9" t="s">
        <v>356</v>
      </c>
      <c r="M58" s="9" t="s">
        <v>357</v>
      </c>
      <c r="N58" s="9" t="s">
        <v>1395</v>
      </c>
      <c r="O58" s="9" t="s">
        <v>1395</v>
      </c>
      <c r="P58" s="9" t="s">
        <v>358</v>
      </c>
      <c r="Q58">
        <v>6</v>
      </c>
      <c r="R58">
        <v>4</v>
      </c>
      <c r="S58" s="9" t="s">
        <v>34</v>
      </c>
      <c r="T58" s="9" t="s">
        <v>35</v>
      </c>
      <c r="U58" s="9" t="s">
        <v>1395</v>
      </c>
      <c r="V58" s="9" t="s">
        <v>359</v>
      </c>
      <c r="W58" s="9" t="s">
        <v>1464</v>
      </c>
      <c r="X58" s="9" t="s">
        <v>1465</v>
      </c>
      <c r="Y58" s="9" t="s">
        <v>360</v>
      </c>
      <c r="Z58" s="9" t="s">
        <v>38</v>
      </c>
      <c r="AA58" s="1">
        <v>46206</v>
      </c>
    </row>
    <row r="59" spans="1:27" x14ac:dyDescent="0.25">
      <c r="A59" s="9" t="s">
        <v>361</v>
      </c>
      <c r="B59" s="9" t="s">
        <v>362</v>
      </c>
      <c r="C59" s="10">
        <f>_xlfn.XLOOKUP(_2026[[#This Row],[Artist]], Table3[Artist], Table3[Rating], "",)</f>
        <v>0</v>
      </c>
      <c r="D59" s="9">
        <f>_xlfn.XLOOKUP(_2026[[#This Row],[Artist]], Table3[Artist], Table3[Notes], "",)</f>
        <v>0</v>
      </c>
      <c r="E59" s="1">
        <v>46207</v>
      </c>
      <c r="F59" s="2">
        <v>0.52083333333333337</v>
      </c>
      <c r="G59" s="2">
        <v>0.55208333333333337</v>
      </c>
      <c r="H59" s="9" t="s">
        <v>111</v>
      </c>
      <c r="I59" s="9" t="s">
        <v>363</v>
      </c>
      <c r="J59" s="9" t="s">
        <v>74</v>
      </c>
      <c r="K59" s="9" t="s">
        <v>364</v>
      </c>
      <c r="L59" s="9" t="s">
        <v>365</v>
      </c>
      <c r="M59" s="9" t="s">
        <v>366</v>
      </c>
      <c r="N59" s="9" t="s">
        <v>1395</v>
      </c>
      <c r="O59" s="9" t="s">
        <v>1395</v>
      </c>
      <c r="P59" s="9" t="s">
        <v>367</v>
      </c>
      <c r="Q59">
        <v>6</v>
      </c>
      <c r="R59">
        <v>3</v>
      </c>
      <c r="S59" s="9" t="s">
        <v>55</v>
      </c>
      <c r="T59" s="9" t="s">
        <v>35</v>
      </c>
      <c r="U59" s="9" t="s">
        <v>1395</v>
      </c>
      <c r="V59" s="9" t="s">
        <v>368</v>
      </c>
      <c r="W59" s="9" t="s">
        <v>1466</v>
      </c>
      <c r="X59" s="9" t="s">
        <v>1467</v>
      </c>
      <c r="Y59" s="9" t="s">
        <v>369</v>
      </c>
      <c r="Z59" s="9" t="s">
        <v>38</v>
      </c>
      <c r="AA59" s="1">
        <v>46207</v>
      </c>
    </row>
    <row r="60" spans="1:27" x14ac:dyDescent="0.25">
      <c r="A60" s="9" t="s">
        <v>1166</v>
      </c>
      <c r="B60" s="9" t="s">
        <v>1167</v>
      </c>
      <c r="C60" s="10">
        <f>_xlfn.XLOOKUP(_2026[[#This Row],[Artist]], Table3[Artist], Table3[Rating], "",)</f>
        <v>0</v>
      </c>
      <c r="D60" s="9">
        <f>_xlfn.XLOOKUP(_2026[[#This Row],[Artist]], Table3[Artist], Table3[Notes], "",)</f>
        <v>0</v>
      </c>
      <c r="E60" s="1">
        <v>46207</v>
      </c>
      <c r="F60" s="2">
        <v>0.63541666666666663</v>
      </c>
      <c r="G60" s="2">
        <v>0.66666666666666663</v>
      </c>
      <c r="H60" s="9" t="s">
        <v>408</v>
      </c>
      <c r="I60" s="9" t="s">
        <v>1168</v>
      </c>
      <c r="J60" s="9" t="s">
        <v>162</v>
      </c>
      <c r="K60" s="9" t="s">
        <v>1696</v>
      </c>
      <c r="L60" s="9" t="s">
        <v>1395</v>
      </c>
      <c r="M60" s="9" t="s">
        <v>1169</v>
      </c>
      <c r="N60" s="9" t="s">
        <v>1395</v>
      </c>
      <c r="O60" s="9" t="s">
        <v>1395</v>
      </c>
      <c r="P60" s="9" t="s">
        <v>1395</v>
      </c>
      <c r="S60" s="9" t="s">
        <v>67</v>
      </c>
      <c r="T60" s="9" t="s">
        <v>1395</v>
      </c>
      <c r="U60" s="9" t="s">
        <v>1395</v>
      </c>
      <c r="V60" s="9" t="s">
        <v>1170</v>
      </c>
      <c r="W60" s="9" t="s">
        <v>1697</v>
      </c>
      <c r="X60" s="9" t="s">
        <v>1698</v>
      </c>
      <c r="Y60" s="9" t="s">
        <v>1171</v>
      </c>
      <c r="Z60" s="9" t="s">
        <v>38</v>
      </c>
      <c r="AA60" s="1">
        <v>46207</v>
      </c>
    </row>
    <row r="61" spans="1:27" x14ac:dyDescent="0.25">
      <c r="A61" s="9" t="s">
        <v>807</v>
      </c>
      <c r="B61" s="9" t="s">
        <v>808</v>
      </c>
      <c r="C61" s="10">
        <f>_xlfn.XLOOKUP(_2026[[#This Row],[Artist]], Table3[Artist], Table3[Rating], "",)</f>
        <v>0</v>
      </c>
      <c r="D61" s="9">
        <f>_xlfn.XLOOKUP(_2026[[#This Row],[Artist]], Table3[Artist], Table3[Notes], "",)</f>
        <v>0</v>
      </c>
      <c r="E61" s="1">
        <v>46207</v>
      </c>
      <c r="F61" s="2">
        <v>0.77083333333333337</v>
      </c>
      <c r="G61" s="2">
        <v>0.83333333333333337</v>
      </c>
      <c r="H61" s="9" t="s">
        <v>743</v>
      </c>
      <c r="I61" s="9" t="s">
        <v>1826</v>
      </c>
      <c r="J61" s="9" t="s">
        <v>162</v>
      </c>
      <c r="K61" s="9" t="s">
        <v>1564</v>
      </c>
      <c r="L61" s="9" t="s">
        <v>1395</v>
      </c>
      <c r="M61" s="9" t="s">
        <v>432</v>
      </c>
      <c r="N61" s="9" t="s">
        <v>1395</v>
      </c>
      <c r="O61" s="9" t="s">
        <v>1395</v>
      </c>
      <c r="P61" s="9" t="s">
        <v>1395</v>
      </c>
      <c r="R61">
        <v>1</v>
      </c>
      <c r="S61" s="9" t="s">
        <v>567</v>
      </c>
      <c r="T61" s="9" t="s">
        <v>38</v>
      </c>
      <c r="U61" s="9" t="s">
        <v>1395</v>
      </c>
      <c r="V61" s="9" t="s">
        <v>809</v>
      </c>
      <c r="W61" s="9" t="s">
        <v>1565</v>
      </c>
      <c r="X61" s="9" t="s">
        <v>1566</v>
      </c>
      <c r="Y61" s="9" t="s">
        <v>810</v>
      </c>
      <c r="Z61" s="9" t="s">
        <v>38</v>
      </c>
      <c r="AA61" s="1">
        <v>46207</v>
      </c>
    </row>
    <row r="62" spans="1:27" x14ac:dyDescent="0.25">
      <c r="A62" s="9" t="s">
        <v>1850</v>
      </c>
      <c r="B62" s="9" t="s">
        <v>1395</v>
      </c>
      <c r="C62" s="10" t="str">
        <f>_xlfn.XLOOKUP(_2026[[#This Row],[Artist]], Table3[Artist], Table3[Rating], "",)</f>
        <v/>
      </c>
      <c r="D62" s="9" t="str">
        <f>_xlfn.XLOOKUP(_2026[[#This Row],[Artist]], Table3[Artist], Table3[Notes], "",)</f>
        <v/>
      </c>
      <c r="E62" s="1">
        <v>46207</v>
      </c>
      <c r="F62" s="2">
        <v>0.67708333333333337</v>
      </c>
      <c r="G62" s="2">
        <v>0.71875</v>
      </c>
      <c r="H62" s="9" t="s">
        <v>111</v>
      </c>
      <c r="I62" s="9" t="s">
        <v>1395</v>
      </c>
      <c r="J62" s="9" t="s">
        <v>1395</v>
      </c>
      <c r="K62" s="9" t="s">
        <v>1395</v>
      </c>
      <c r="L62" s="9" t="s">
        <v>1395</v>
      </c>
      <c r="M62" s="9" t="s">
        <v>1395</v>
      </c>
      <c r="N62" s="9" t="s">
        <v>1395</v>
      </c>
      <c r="O62" s="9" t="s">
        <v>1395</v>
      </c>
      <c r="P62" s="9" t="s">
        <v>1395</v>
      </c>
      <c r="S62" s="9" t="s">
        <v>1395</v>
      </c>
      <c r="T62" s="9" t="s">
        <v>1395</v>
      </c>
      <c r="U62" s="9" t="s">
        <v>1395</v>
      </c>
      <c r="V62" s="9" t="s">
        <v>1851</v>
      </c>
      <c r="W62" s="9" t="s">
        <v>1852</v>
      </c>
      <c r="X62" s="9" t="s">
        <v>1853</v>
      </c>
      <c r="Y62" s="9" t="s">
        <v>1854</v>
      </c>
      <c r="Z62" s="9" t="s">
        <v>38</v>
      </c>
      <c r="AA62" s="1">
        <v>46207</v>
      </c>
    </row>
    <row r="63" spans="1:27" x14ac:dyDescent="0.25">
      <c r="A63" s="9" t="s">
        <v>370</v>
      </c>
      <c r="B63" s="9" t="s">
        <v>371</v>
      </c>
      <c r="C63" s="10">
        <f>_xlfn.XLOOKUP(_2026[[#This Row],[Artist]], Table3[Artist], Table3[Rating], "",)</f>
        <v>0</v>
      </c>
      <c r="D63" s="9">
        <f>_xlfn.XLOOKUP(_2026[[#This Row],[Artist]], Table3[Artist], Table3[Notes], "",)</f>
        <v>0</v>
      </c>
      <c r="E63" s="1">
        <v>46209</v>
      </c>
      <c r="F63" s="2">
        <v>4.1666666666666664E-2</v>
      </c>
      <c r="G63" s="2">
        <v>0.16666666666666666</v>
      </c>
      <c r="H63" s="9" t="s">
        <v>111</v>
      </c>
      <c r="I63" s="9" t="s">
        <v>372</v>
      </c>
      <c r="J63" s="9" t="s">
        <v>373</v>
      </c>
      <c r="K63" s="9" t="s">
        <v>374</v>
      </c>
      <c r="L63" s="9" t="s">
        <v>1395</v>
      </c>
      <c r="M63" s="9" t="s">
        <v>375</v>
      </c>
      <c r="N63" s="9" t="s">
        <v>1395</v>
      </c>
      <c r="O63" s="9" t="s">
        <v>1395</v>
      </c>
      <c r="P63" s="9" t="s">
        <v>376</v>
      </c>
      <c r="Q63">
        <v>8</v>
      </c>
      <c r="R63">
        <v>2</v>
      </c>
      <c r="S63" s="9" t="s">
        <v>55</v>
      </c>
      <c r="T63" s="9" t="s">
        <v>38</v>
      </c>
      <c r="U63" s="9" t="s">
        <v>1395</v>
      </c>
      <c r="V63" s="9" t="s">
        <v>377</v>
      </c>
      <c r="W63" s="9" t="s">
        <v>1468</v>
      </c>
      <c r="X63" s="9" t="s">
        <v>378</v>
      </c>
      <c r="Y63" s="9" t="s">
        <v>379</v>
      </c>
      <c r="Z63" s="9" t="s">
        <v>38</v>
      </c>
      <c r="AA63" s="1">
        <v>46209</v>
      </c>
    </row>
    <row r="64" spans="1:27" x14ac:dyDescent="0.25">
      <c r="A64" s="9" t="s">
        <v>1172</v>
      </c>
      <c r="B64" s="9" t="s">
        <v>1173</v>
      </c>
      <c r="C64" s="10">
        <f>_xlfn.XLOOKUP(_2026[[#This Row],[Artist]], Table3[Artist], Table3[Rating], "",)</f>
        <v>0</v>
      </c>
      <c r="D64" s="9">
        <f>_xlfn.XLOOKUP(_2026[[#This Row],[Artist]], Table3[Artist], Table3[Notes], "",)</f>
        <v>0</v>
      </c>
      <c r="E64" s="1">
        <v>46206</v>
      </c>
      <c r="F64" s="2">
        <v>0.64583333333333337</v>
      </c>
      <c r="G64" s="2">
        <v>0.67708333333333337</v>
      </c>
      <c r="H64" s="9" t="s">
        <v>408</v>
      </c>
      <c r="I64" s="9" t="s">
        <v>1084</v>
      </c>
      <c r="J64" s="9" t="s">
        <v>267</v>
      </c>
      <c r="K64" s="9" t="s">
        <v>1174</v>
      </c>
      <c r="L64" s="9" t="s">
        <v>1395</v>
      </c>
      <c r="M64" s="9" t="s">
        <v>1175</v>
      </c>
      <c r="N64" s="9" t="s">
        <v>1395</v>
      </c>
      <c r="O64" s="9" t="s">
        <v>1395</v>
      </c>
      <c r="P64" s="9" t="s">
        <v>1395</v>
      </c>
      <c r="R64">
        <v>5</v>
      </c>
      <c r="S64" s="9" t="s">
        <v>55</v>
      </c>
      <c r="T64" s="9" t="s">
        <v>1395</v>
      </c>
      <c r="U64" s="9" t="s">
        <v>1395</v>
      </c>
      <c r="V64" s="9" t="s">
        <v>1176</v>
      </c>
      <c r="W64" s="9" t="s">
        <v>1699</v>
      </c>
      <c r="X64" s="9" t="s">
        <v>1177</v>
      </c>
      <c r="Y64" s="9" t="s">
        <v>1178</v>
      </c>
      <c r="Z64" s="9" t="s">
        <v>38</v>
      </c>
      <c r="AA64" s="1">
        <v>46206</v>
      </c>
    </row>
    <row r="65" spans="1:27" x14ac:dyDescent="0.25">
      <c r="A65" s="9" t="s">
        <v>1141</v>
      </c>
      <c r="B65" s="9" t="s">
        <v>1142</v>
      </c>
      <c r="C65" s="10">
        <f>_xlfn.XLOOKUP(_2026[[#This Row],[Artist]], Table3[Artist], Table3[Rating], "",)</f>
        <v>0</v>
      </c>
      <c r="D65" s="9">
        <f>_xlfn.XLOOKUP(_2026[[#This Row],[Artist]], Table3[Artist], Table3[Notes], "",)</f>
        <v>0</v>
      </c>
      <c r="E65" s="1">
        <v>46206</v>
      </c>
      <c r="F65" s="2">
        <v>0.47916666666666669</v>
      </c>
      <c r="G65" s="2">
        <v>0.52083333333333337</v>
      </c>
      <c r="H65" s="9" t="s">
        <v>1062</v>
      </c>
      <c r="I65" s="9" t="s">
        <v>1395</v>
      </c>
      <c r="J65" s="9" t="s">
        <v>162</v>
      </c>
      <c r="K65" s="9" t="s">
        <v>1676</v>
      </c>
      <c r="L65" s="9" t="s">
        <v>1395</v>
      </c>
      <c r="M65" s="9" t="s">
        <v>432</v>
      </c>
      <c r="N65" s="9" t="s">
        <v>1395</v>
      </c>
      <c r="O65" s="9" t="s">
        <v>1395</v>
      </c>
      <c r="P65" s="9" t="s">
        <v>1395</v>
      </c>
      <c r="S65" s="9" t="s">
        <v>1395</v>
      </c>
      <c r="T65" s="9" t="s">
        <v>1395</v>
      </c>
      <c r="U65" s="9" t="s">
        <v>1395</v>
      </c>
      <c r="V65" s="9" t="s">
        <v>1143</v>
      </c>
      <c r="W65" s="9" t="s">
        <v>1677</v>
      </c>
      <c r="X65" s="9" t="s">
        <v>1678</v>
      </c>
      <c r="Y65" s="9" t="s">
        <v>1144</v>
      </c>
      <c r="Z65" s="9" t="s">
        <v>38</v>
      </c>
      <c r="AA65" s="1">
        <v>46206</v>
      </c>
    </row>
    <row r="66" spans="1:27" x14ac:dyDescent="0.25">
      <c r="A66" s="9" t="s">
        <v>627</v>
      </c>
      <c r="B66" s="9" t="s">
        <v>628</v>
      </c>
      <c r="C66" s="10">
        <f>_xlfn.XLOOKUP(_2026[[#This Row],[Artist]], Table3[Artist], Table3[Rating], "",)</f>
        <v>0</v>
      </c>
      <c r="D66" s="9">
        <f>_xlfn.XLOOKUP(_2026[[#This Row],[Artist]], Table3[Artist], Table3[Notes], "",)</f>
        <v>0</v>
      </c>
      <c r="E66" s="1">
        <v>46208</v>
      </c>
      <c r="F66" s="2">
        <v>0.59375</v>
      </c>
      <c r="G66" s="2">
        <v>0.6875</v>
      </c>
      <c r="H66" s="9" t="s">
        <v>547</v>
      </c>
      <c r="I66" s="9" t="s">
        <v>1822</v>
      </c>
      <c r="J66" s="9" t="s">
        <v>162</v>
      </c>
      <c r="K66" s="9" t="s">
        <v>1505</v>
      </c>
      <c r="L66" s="9" t="s">
        <v>1395</v>
      </c>
      <c r="M66" s="9" t="s">
        <v>432</v>
      </c>
      <c r="N66" s="9" t="s">
        <v>1395</v>
      </c>
      <c r="O66" s="9" t="s">
        <v>1395</v>
      </c>
      <c r="P66" s="9" t="s">
        <v>1395</v>
      </c>
      <c r="R66">
        <v>1</v>
      </c>
      <c r="S66" s="9" t="s">
        <v>567</v>
      </c>
      <c r="T66" s="9" t="s">
        <v>1395</v>
      </c>
      <c r="U66" s="9" t="s">
        <v>1395</v>
      </c>
      <c r="V66" s="9" t="s">
        <v>629</v>
      </c>
      <c r="W66" s="9" t="s">
        <v>1506</v>
      </c>
      <c r="X66" s="9" t="s">
        <v>1507</v>
      </c>
      <c r="Y66" s="9" t="s">
        <v>630</v>
      </c>
      <c r="Z66" s="9" t="s">
        <v>38</v>
      </c>
      <c r="AA66" s="1">
        <v>46208</v>
      </c>
    </row>
    <row r="67" spans="1:27" x14ac:dyDescent="0.25">
      <c r="A67" s="9" t="s">
        <v>1614</v>
      </c>
      <c r="B67" s="9" t="s">
        <v>941</v>
      </c>
      <c r="C67" s="10">
        <f>_xlfn.XLOOKUP(_2026[[#This Row],[Artist]], Table3[Artist], Table3[Rating], "",)</f>
        <v>0</v>
      </c>
      <c r="D67" s="9">
        <f>_xlfn.XLOOKUP(_2026[[#This Row],[Artist]], Table3[Artist], Table3[Notes], "",)</f>
        <v>0</v>
      </c>
      <c r="E67" s="1">
        <v>46207</v>
      </c>
      <c r="F67" s="2">
        <v>0.625</v>
      </c>
      <c r="G67" s="2">
        <v>0.66666666666666663</v>
      </c>
      <c r="H67" s="9" t="s">
        <v>923</v>
      </c>
      <c r="I67" s="9" t="s">
        <v>1395</v>
      </c>
      <c r="J67" s="9" t="s">
        <v>1395</v>
      </c>
      <c r="K67" s="9" t="s">
        <v>1615</v>
      </c>
      <c r="L67" s="9" t="s">
        <v>1395</v>
      </c>
      <c r="M67" s="9" t="s">
        <v>432</v>
      </c>
      <c r="N67" s="9" t="s">
        <v>1395</v>
      </c>
      <c r="O67" s="9" t="s">
        <v>1395</v>
      </c>
      <c r="P67" s="9" t="s">
        <v>1395</v>
      </c>
      <c r="S67" s="9" t="s">
        <v>34</v>
      </c>
      <c r="T67" s="9" t="s">
        <v>1395</v>
      </c>
      <c r="U67" s="9" t="s">
        <v>1395</v>
      </c>
      <c r="V67" s="9" t="s">
        <v>942</v>
      </c>
      <c r="W67" s="9" t="s">
        <v>1616</v>
      </c>
      <c r="X67" s="9" t="s">
        <v>1617</v>
      </c>
      <c r="Y67" s="9" t="s">
        <v>943</v>
      </c>
      <c r="Z67" s="9" t="s">
        <v>38</v>
      </c>
      <c r="AA67" s="1">
        <v>46207</v>
      </c>
    </row>
    <row r="68" spans="1:27" x14ac:dyDescent="0.25">
      <c r="A68" s="9" t="s">
        <v>944</v>
      </c>
      <c r="B68" s="9" t="s">
        <v>945</v>
      </c>
      <c r="C68" s="10">
        <f>_xlfn.XLOOKUP(_2026[[#This Row],[Artist]], Table3[Artist], Table3[Rating], "",)</f>
        <v>0</v>
      </c>
      <c r="D68" s="9">
        <f>_xlfn.XLOOKUP(_2026[[#This Row],[Artist]], Table3[Artist], Table3[Notes], "",)</f>
        <v>0</v>
      </c>
      <c r="E68" s="1">
        <v>46207</v>
      </c>
      <c r="F68" s="2">
        <v>0.45833333333333331</v>
      </c>
      <c r="G68" s="2">
        <v>0.54166666666666663</v>
      </c>
      <c r="H68" s="9" t="s">
        <v>923</v>
      </c>
      <c r="I68" s="9" t="s">
        <v>1838</v>
      </c>
      <c r="J68" s="9" t="s">
        <v>162</v>
      </c>
      <c r="K68" s="9" t="s">
        <v>1618</v>
      </c>
      <c r="L68" s="9" t="s">
        <v>1395</v>
      </c>
      <c r="M68" s="9" t="s">
        <v>432</v>
      </c>
      <c r="N68" s="9" t="s">
        <v>1395</v>
      </c>
      <c r="O68" s="9" t="s">
        <v>1395</v>
      </c>
      <c r="P68" s="9" t="s">
        <v>1395</v>
      </c>
      <c r="S68" s="9" t="s">
        <v>575</v>
      </c>
      <c r="T68" s="9" t="s">
        <v>1395</v>
      </c>
      <c r="U68" s="9" t="s">
        <v>1395</v>
      </c>
      <c r="V68" s="9" t="s">
        <v>946</v>
      </c>
      <c r="W68" s="9" t="s">
        <v>1619</v>
      </c>
      <c r="X68" s="9" t="s">
        <v>1620</v>
      </c>
      <c r="Y68" s="9" t="s">
        <v>947</v>
      </c>
      <c r="Z68" s="9" t="s">
        <v>38</v>
      </c>
      <c r="AA68" s="1">
        <v>46207</v>
      </c>
    </row>
    <row r="69" spans="1:27" x14ac:dyDescent="0.25">
      <c r="A69" s="9" t="s">
        <v>811</v>
      </c>
      <c r="B69" s="9" t="s">
        <v>1567</v>
      </c>
      <c r="C69" s="10">
        <f>_xlfn.XLOOKUP(_2026[[#This Row],[Artist]], Table3[Artist], Table3[Rating], "",)</f>
        <v>0</v>
      </c>
      <c r="D69" s="9">
        <f>_xlfn.XLOOKUP(_2026[[#This Row],[Artist]], Table3[Artist], Table3[Notes], "",)</f>
        <v>0</v>
      </c>
      <c r="E69" s="1">
        <v>46208</v>
      </c>
      <c r="F69" s="2">
        <v>0.70833333333333337</v>
      </c>
      <c r="G69" s="2">
        <v>0.77083333333333337</v>
      </c>
      <c r="H69" s="9" t="s">
        <v>743</v>
      </c>
      <c r="I69" s="9" t="s">
        <v>1827</v>
      </c>
      <c r="J69" s="9" t="s">
        <v>812</v>
      </c>
      <c r="K69" s="9" t="s">
        <v>1568</v>
      </c>
      <c r="L69" s="9" t="s">
        <v>1395</v>
      </c>
      <c r="M69" s="9" t="s">
        <v>813</v>
      </c>
      <c r="N69" s="9" t="s">
        <v>1395</v>
      </c>
      <c r="O69" s="9" t="s">
        <v>1395</v>
      </c>
      <c r="P69" s="9" t="s">
        <v>1395</v>
      </c>
      <c r="R69">
        <v>1</v>
      </c>
      <c r="S69" s="9" t="s">
        <v>67</v>
      </c>
      <c r="T69" s="9" t="s">
        <v>38</v>
      </c>
      <c r="U69" s="9" t="s">
        <v>1395</v>
      </c>
      <c r="V69" s="9" t="s">
        <v>814</v>
      </c>
      <c r="W69" s="9" t="s">
        <v>815</v>
      </c>
      <c r="X69" s="9" t="s">
        <v>1569</v>
      </c>
      <c r="Y69" s="9" t="s">
        <v>816</v>
      </c>
      <c r="Z69" s="9" t="s">
        <v>38</v>
      </c>
      <c r="AA69" s="1">
        <v>46208</v>
      </c>
    </row>
    <row r="70" spans="1:27" x14ac:dyDescent="0.25">
      <c r="A70" s="9" t="s">
        <v>151</v>
      </c>
      <c r="B70" s="9" t="s">
        <v>152</v>
      </c>
      <c r="C70" s="10">
        <f>_xlfn.XLOOKUP(_2026[[#This Row],[Artist]], Table3[Artist], Table3[Rating], "",)</f>
        <v>6</v>
      </c>
      <c r="D70" s="9" t="str">
        <f>_xlfn.XLOOKUP(_2026[[#This Row],[Artist]], Table3[Artist], Table3[Notes], "",)</f>
        <v>Yo, yo, yo. Mid-tempo 90s beats. Eminem-ish frasing.</v>
      </c>
      <c r="E70" s="1">
        <v>46208</v>
      </c>
      <c r="F70" s="2">
        <v>0.60416666666666663</v>
      </c>
      <c r="G70" s="2">
        <v>0.64583333333333337</v>
      </c>
      <c r="H70" s="9" t="s">
        <v>100</v>
      </c>
      <c r="I70" s="9" t="s">
        <v>40</v>
      </c>
      <c r="J70" s="9" t="s">
        <v>62</v>
      </c>
      <c r="K70" s="9" t="s">
        <v>153</v>
      </c>
      <c r="L70" s="9" t="s">
        <v>154</v>
      </c>
      <c r="M70" s="9" t="s">
        <v>155</v>
      </c>
      <c r="N70" s="9" t="s">
        <v>1395</v>
      </c>
      <c r="O70" s="9" t="s">
        <v>1395</v>
      </c>
      <c r="P70" s="9" t="s">
        <v>156</v>
      </c>
      <c r="Q70">
        <v>8</v>
      </c>
      <c r="S70" s="9" t="s">
        <v>67</v>
      </c>
      <c r="T70" s="9" t="s">
        <v>35</v>
      </c>
      <c r="U70" s="9" t="s">
        <v>1395</v>
      </c>
      <c r="V70" s="9" t="s">
        <v>157</v>
      </c>
      <c r="W70" s="9" t="s">
        <v>1415</v>
      </c>
      <c r="X70" s="9" t="s">
        <v>1416</v>
      </c>
      <c r="Y70" s="9" t="s">
        <v>158</v>
      </c>
      <c r="Z70" s="9" t="s">
        <v>38</v>
      </c>
      <c r="AA70" s="1">
        <v>46208</v>
      </c>
    </row>
    <row r="71" spans="1:27" x14ac:dyDescent="0.25">
      <c r="A71" s="9" t="s">
        <v>948</v>
      </c>
      <c r="B71" s="9" t="s">
        <v>949</v>
      </c>
      <c r="C71" s="10">
        <f>_xlfn.XLOOKUP(_2026[[#This Row],[Artist]], Table3[Artist], Table3[Rating], "",)</f>
        <v>0</v>
      </c>
      <c r="D71" s="9">
        <f>_xlfn.XLOOKUP(_2026[[#This Row],[Artist]], Table3[Artist], Table3[Notes], "",)</f>
        <v>0</v>
      </c>
      <c r="E71" s="1">
        <v>46208</v>
      </c>
      <c r="F71" s="2">
        <v>0.79166666666666663</v>
      </c>
      <c r="G71" s="2">
        <v>0.83333333333333337</v>
      </c>
      <c r="H71" s="9" t="s">
        <v>923</v>
      </c>
      <c r="I71" s="9" t="s">
        <v>1839</v>
      </c>
      <c r="J71" s="9" t="s">
        <v>1395</v>
      </c>
      <c r="K71" s="9" t="s">
        <v>1621</v>
      </c>
      <c r="L71" s="9" t="s">
        <v>1395</v>
      </c>
      <c r="M71" s="9" t="s">
        <v>950</v>
      </c>
      <c r="N71" s="9" t="s">
        <v>1395</v>
      </c>
      <c r="O71" s="9" t="s">
        <v>1395</v>
      </c>
      <c r="P71" s="9" t="s">
        <v>1395</v>
      </c>
      <c r="S71" s="9" t="s">
        <v>1395</v>
      </c>
      <c r="T71" s="9" t="s">
        <v>1395</v>
      </c>
      <c r="U71" s="9" t="s">
        <v>1395</v>
      </c>
      <c r="V71" s="9" t="s">
        <v>951</v>
      </c>
      <c r="W71" s="9" t="s">
        <v>1622</v>
      </c>
      <c r="X71" s="9" t="s">
        <v>1623</v>
      </c>
      <c r="Y71" s="9" t="s">
        <v>952</v>
      </c>
      <c r="Z71" s="9" t="s">
        <v>38</v>
      </c>
      <c r="AA71" s="1">
        <v>46208</v>
      </c>
    </row>
    <row r="72" spans="1:27" x14ac:dyDescent="0.25">
      <c r="A72" s="9" t="s">
        <v>1508</v>
      </c>
      <c r="B72" s="9" t="s">
        <v>631</v>
      </c>
      <c r="C72" s="10">
        <f>_xlfn.XLOOKUP(_2026[[#This Row],[Artist]], Table3[Artist], Table3[Rating], "",)</f>
        <v>0</v>
      </c>
      <c r="D72" s="9">
        <f>_xlfn.XLOOKUP(_2026[[#This Row],[Artist]], Table3[Artist], Table3[Notes], "",)</f>
        <v>0</v>
      </c>
      <c r="E72" s="1">
        <v>46208</v>
      </c>
      <c r="F72" s="2">
        <v>0.72916666666666663</v>
      </c>
      <c r="G72" s="2">
        <v>0.8125</v>
      </c>
      <c r="H72" s="9" t="s">
        <v>547</v>
      </c>
      <c r="I72" s="9" t="s">
        <v>632</v>
      </c>
      <c r="J72" s="9" t="s">
        <v>143</v>
      </c>
      <c r="K72" s="9" t="s">
        <v>1509</v>
      </c>
      <c r="L72" s="9" t="s">
        <v>1395</v>
      </c>
      <c r="M72" s="9" t="s">
        <v>633</v>
      </c>
      <c r="N72" s="9" t="s">
        <v>1395</v>
      </c>
      <c r="O72" s="9" t="s">
        <v>1395</v>
      </c>
      <c r="P72" s="9" t="s">
        <v>1510</v>
      </c>
      <c r="Q72">
        <v>7</v>
      </c>
      <c r="S72" s="9" t="s">
        <v>67</v>
      </c>
      <c r="T72" s="9" t="s">
        <v>35</v>
      </c>
      <c r="U72" s="9" t="s">
        <v>1395</v>
      </c>
      <c r="V72" s="9" t="s">
        <v>634</v>
      </c>
      <c r="W72" s="9" t="s">
        <v>1511</v>
      </c>
      <c r="X72" s="9" t="s">
        <v>1512</v>
      </c>
      <c r="Y72" s="9" t="s">
        <v>635</v>
      </c>
      <c r="Z72" s="9" t="s">
        <v>38</v>
      </c>
      <c r="AA72" s="1">
        <v>46208</v>
      </c>
    </row>
    <row r="73" spans="1:27" x14ac:dyDescent="0.25">
      <c r="A73" s="9" t="s">
        <v>817</v>
      </c>
      <c r="B73" s="9" t="s">
        <v>818</v>
      </c>
      <c r="C73" s="10">
        <f>_xlfn.XLOOKUP(_2026[[#This Row],[Artist]], Table3[Artist], Table3[Rating], "",)</f>
        <v>0</v>
      </c>
      <c r="D73" s="9">
        <f>_xlfn.XLOOKUP(_2026[[#This Row],[Artist]], Table3[Artist], Table3[Notes], "",)</f>
        <v>0</v>
      </c>
      <c r="E73" s="1">
        <v>46207</v>
      </c>
      <c r="F73" s="2">
        <v>0.95833333333333337</v>
      </c>
      <c r="G73" s="2">
        <v>2.0833333333333332E-2</v>
      </c>
      <c r="H73" s="9" t="s">
        <v>743</v>
      </c>
      <c r="I73" s="9" t="s">
        <v>819</v>
      </c>
      <c r="J73" s="9" t="s">
        <v>820</v>
      </c>
      <c r="K73" s="9" t="s">
        <v>821</v>
      </c>
      <c r="L73" s="9" t="s">
        <v>1395</v>
      </c>
      <c r="M73" s="9" t="s">
        <v>822</v>
      </c>
      <c r="N73" s="9" t="s">
        <v>1395</v>
      </c>
      <c r="O73" s="9" t="s">
        <v>1395</v>
      </c>
      <c r="P73" s="9" t="s">
        <v>823</v>
      </c>
      <c r="Q73">
        <v>7</v>
      </c>
      <c r="S73" s="9" t="s">
        <v>34</v>
      </c>
      <c r="T73" s="9" t="s">
        <v>38</v>
      </c>
      <c r="U73" s="9" t="s">
        <v>1395</v>
      </c>
      <c r="V73" s="9" t="s">
        <v>824</v>
      </c>
      <c r="W73" s="9" t="s">
        <v>1570</v>
      </c>
      <c r="X73" s="9" t="s">
        <v>1571</v>
      </c>
      <c r="Y73" s="9" t="s">
        <v>1395</v>
      </c>
      <c r="Z73" s="9" t="s">
        <v>38</v>
      </c>
      <c r="AA73" s="1">
        <v>46208</v>
      </c>
    </row>
    <row r="74" spans="1:27" x14ac:dyDescent="0.25">
      <c r="A74" s="9" t="s">
        <v>1088</v>
      </c>
      <c r="B74" s="9" t="s">
        <v>1089</v>
      </c>
      <c r="C74" s="10">
        <f>_xlfn.XLOOKUP(_2026[[#This Row],[Artist]], Table3[Artist], Table3[Rating], "",)</f>
        <v>0</v>
      </c>
      <c r="D74" s="9">
        <f>_xlfn.XLOOKUP(_2026[[#This Row],[Artist]], Table3[Artist], Table3[Notes], "",)</f>
        <v>0</v>
      </c>
      <c r="E74" s="1">
        <v>46206</v>
      </c>
      <c r="F74" s="2">
        <v>0.5625</v>
      </c>
      <c r="G74" s="2">
        <v>0.59375</v>
      </c>
      <c r="H74" s="9" t="s">
        <v>1062</v>
      </c>
      <c r="I74" s="9" t="s">
        <v>1090</v>
      </c>
      <c r="J74" s="9" t="s">
        <v>162</v>
      </c>
      <c r="K74" s="9" t="s">
        <v>1652</v>
      </c>
      <c r="L74" s="9" t="s">
        <v>1395</v>
      </c>
      <c r="M74" s="9" t="s">
        <v>1091</v>
      </c>
      <c r="N74" s="9" t="s">
        <v>1395</v>
      </c>
      <c r="O74" s="9" t="s">
        <v>1395</v>
      </c>
      <c r="P74" s="9" t="s">
        <v>1395</v>
      </c>
      <c r="R74">
        <v>3</v>
      </c>
      <c r="S74" s="9" t="s">
        <v>1395</v>
      </c>
      <c r="T74" s="9" t="s">
        <v>1395</v>
      </c>
      <c r="U74" s="9" t="s">
        <v>1395</v>
      </c>
      <c r="V74" s="9" t="s">
        <v>1092</v>
      </c>
      <c r="W74" s="9" t="s">
        <v>1653</v>
      </c>
      <c r="X74" s="9" t="s">
        <v>1654</v>
      </c>
      <c r="Y74" s="9" t="s">
        <v>1093</v>
      </c>
      <c r="Z74" s="9" t="s">
        <v>38</v>
      </c>
      <c r="AA74" s="1">
        <v>46206</v>
      </c>
    </row>
    <row r="75" spans="1:27" x14ac:dyDescent="0.25">
      <c r="A75" s="9" t="s">
        <v>1094</v>
      </c>
      <c r="B75" s="9" t="s">
        <v>1095</v>
      </c>
      <c r="C75" s="10">
        <f>_xlfn.XLOOKUP(_2026[[#This Row],[Artist]], Table3[Artist], Table3[Rating], "",)</f>
        <v>0</v>
      </c>
      <c r="D75" s="9">
        <f>_xlfn.XLOOKUP(_2026[[#This Row],[Artist]], Table3[Artist], Table3[Notes], "",)</f>
        <v>0</v>
      </c>
      <c r="E75" s="1">
        <v>46208</v>
      </c>
      <c r="F75" s="2">
        <v>0.73958333333333337</v>
      </c>
      <c r="G75" s="2">
        <v>0.77083333333333337</v>
      </c>
      <c r="H75" s="9" t="s">
        <v>1062</v>
      </c>
      <c r="I75" s="9" t="s">
        <v>1096</v>
      </c>
      <c r="J75" s="9" t="s">
        <v>162</v>
      </c>
      <c r="K75" s="9" t="s">
        <v>1097</v>
      </c>
      <c r="L75" s="9" t="s">
        <v>1395</v>
      </c>
      <c r="M75" s="9" t="s">
        <v>1098</v>
      </c>
      <c r="N75" s="9" t="s">
        <v>1395</v>
      </c>
      <c r="O75" s="9" t="s">
        <v>1395</v>
      </c>
      <c r="P75" s="9" t="s">
        <v>1395</v>
      </c>
      <c r="S75" s="9" t="s">
        <v>1395</v>
      </c>
      <c r="T75" s="9" t="s">
        <v>1395</v>
      </c>
      <c r="U75" s="9" t="s">
        <v>1395</v>
      </c>
      <c r="V75" s="9" t="s">
        <v>1099</v>
      </c>
      <c r="W75" s="9" t="s">
        <v>1655</v>
      </c>
      <c r="X75" s="9" t="s">
        <v>1100</v>
      </c>
      <c r="Y75" s="9" t="s">
        <v>1101</v>
      </c>
      <c r="Z75" s="9" t="s">
        <v>38</v>
      </c>
      <c r="AA75" s="1">
        <v>46208</v>
      </c>
    </row>
    <row r="76" spans="1:27" x14ac:dyDescent="0.25">
      <c r="A76" s="9" t="s">
        <v>1102</v>
      </c>
      <c r="B76" s="9" t="s">
        <v>1656</v>
      </c>
      <c r="C76" s="10">
        <f>_xlfn.XLOOKUP(_2026[[#This Row],[Artist]], Table3[Artist], Table3[Rating], "",)</f>
        <v>0</v>
      </c>
      <c r="D76" s="9">
        <f>_xlfn.XLOOKUP(_2026[[#This Row],[Artist]], Table3[Artist], Table3[Notes], "",)</f>
        <v>0</v>
      </c>
      <c r="E76" s="1">
        <v>46207</v>
      </c>
      <c r="F76" s="2">
        <v>0.89583333333333337</v>
      </c>
      <c r="G76" s="2">
        <v>0.92708333333333337</v>
      </c>
      <c r="H76" s="9" t="s">
        <v>1062</v>
      </c>
      <c r="I76" s="9" t="s">
        <v>1841</v>
      </c>
      <c r="J76" s="9" t="s">
        <v>1103</v>
      </c>
      <c r="K76" s="9" t="s">
        <v>1657</v>
      </c>
      <c r="L76" s="9" t="s">
        <v>1395</v>
      </c>
      <c r="M76" s="9" t="s">
        <v>1104</v>
      </c>
      <c r="N76" s="9" t="s">
        <v>1395</v>
      </c>
      <c r="O76" s="9" t="s">
        <v>1395</v>
      </c>
      <c r="P76" s="9" t="s">
        <v>1395</v>
      </c>
      <c r="R76">
        <v>2</v>
      </c>
      <c r="S76" s="9" t="s">
        <v>1395</v>
      </c>
      <c r="T76" s="9" t="s">
        <v>1395</v>
      </c>
      <c r="U76" s="9" t="s">
        <v>1395</v>
      </c>
      <c r="V76" s="9" t="s">
        <v>1105</v>
      </c>
      <c r="W76" s="9" t="s">
        <v>1658</v>
      </c>
      <c r="X76" s="9" t="s">
        <v>1659</v>
      </c>
      <c r="Y76" s="9" t="s">
        <v>1106</v>
      </c>
      <c r="Z76" s="9" t="s">
        <v>38</v>
      </c>
      <c r="AA76" s="1">
        <v>46207</v>
      </c>
    </row>
    <row r="77" spans="1:27" x14ac:dyDescent="0.25">
      <c r="A77" s="9" t="s">
        <v>159</v>
      </c>
      <c r="B77" s="9" t="s">
        <v>160</v>
      </c>
      <c r="C77" s="10">
        <f>_xlfn.XLOOKUP(_2026[[#This Row],[Artist]], Table3[Artist], Table3[Rating], "",)</f>
        <v>6</v>
      </c>
      <c r="D77" s="9" t="str">
        <f>_xlfn.XLOOKUP(_2026[[#This Row],[Artist]], Table3[Artist], Table3[Notes], "",)</f>
        <v>Ik ga de juich recensies gewoon negeren, want het blijft nederhop in the end.</v>
      </c>
      <c r="E77" s="1">
        <v>46208</v>
      </c>
      <c r="F77" s="2">
        <v>0.72916666666666663</v>
      </c>
      <c r="G77" s="2">
        <v>0.77083333333333337</v>
      </c>
      <c r="H77" s="9" t="s">
        <v>27</v>
      </c>
      <c r="I77" s="9" t="s">
        <v>161</v>
      </c>
      <c r="J77" s="9" t="s">
        <v>162</v>
      </c>
      <c r="K77" s="9" t="s">
        <v>1417</v>
      </c>
      <c r="L77" s="9" t="s">
        <v>1395</v>
      </c>
      <c r="M77" s="9" t="s">
        <v>163</v>
      </c>
      <c r="N77" s="9" t="s">
        <v>1395</v>
      </c>
      <c r="O77" s="9" t="s">
        <v>1395</v>
      </c>
      <c r="P77" s="9" t="s">
        <v>164</v>
      </c>
      <c r="Q77">
        <v>7</v>
      </c>
      <c r="R77">
        <v>2</v>
      </c>
      <c r="S77" s="9" t="s">
        <v>67</v>
      </c>
      <c r="T77" s="9" t="s">
        <v>38</v>
      </c>
      <c r="U77" s="9" t="s">
        <v>1395</v>
      </c>
      <c r="V77" s="9" t="s">
        <v>165</v>
      </c>
      <c r="W77" s="9" t="s">
        <v>1418</v>
      </c>
      <c r="X77" s="9" t="s">
        <v>1419</v>
      </c>
      <c r="Y77" s="9" t="s">
        <v>166</v>
      </c>
      <c r="Z77" s="9" t="s">
        <v>38</v>
      </c>
      <c r="AA77" s="1">
        <v>46208</v>
      </c>
    </row>
    <row r="78" spans="1:27" x14ac:dyDescent="0.25">
      <c r="A78" s="9" t="s">
        <v>380</v>
      </c>
      <c r="B78" s="9" t="s">
        <v>381</v>
      </c>
      <c r="C78" s="10">
        <f>_xlfn.XLOOKUP(_2026[[#This Row],[Artist]], Table3[Artist], Table3[Rating], "",)</f>
        <v>9</v>
      </c>
      <c r="D78" s="9" t="str">
        <f>_xlfn.XLOOKUP(_2026[[#This Row],[Artist]], Table3[Artist], Table3[Notes], "",)</f>
        <v>Spannende Schotse folk-pop zanger. Jeff Buckley vergelijking gaat mank want Jacob heeft amper irritante maniertjes.</v>
      </c>
      <c r="E78" s="1">
        <v>46206</v>
      </c>
      <c r="F78" s="2">
        <v>0.61458333333333337</v>
      </c>
      <c r="G78" s="2">
        <v>0.64930555555555558</v>
      </c>
      <c r="H78" s="9" t="s">
        <v>111</v>
      </c>
      <c r="I78" s="9" t="s">
        <v>382</v>
      </c>
      <c r="J78" s="9" t="s">
        <v>383</v>
      </c>
      <c r="K78" s="9" t="s">
        <v>1469</v>
      </c>
      <c r="L78" s="9" t="s">
        <v>1395</v>
      </c>
      <c r="M78" s="9" t="s">
        <v>384</v>
      </c>
      <c r="N78" s="9" t="s">
        <v>1395</v>
      </c>
      <c r="O78" s="9" t="s">
        <v>1395</v>
      </c>
      <c r="P78" s="9" t="s">
        <v>385</v>
      </c>
      <c r="Q78">
        <v>8</v>
      </c>
      <c r="R78">
        <v>1</v>
      </c>
      <c r="S78" s="9" t="s">
        <v>67</v>
      </c>
      <c r="T78" s="9" t="s">
        <v>35</v>
      </c>
      <c r="U78" s="9" t="s">
        <v>1395</v>
      </c>
      <c r="V78" s="9" t="s">
        <v>386</v>
      </c>
      <c r="W78" s="9" t="s">
        <v>1470</v>
      </c>
      <c r="X78" s="9" t="s">
        <v>1471</v>
      </c>
      <c r="Y78" s="9" t="s">
        <v>387</v>
      </c>
      <c r="Z78" s="9" t="s">
        <v>38</v>
      </c>
      <c r="AA78" s="1">
        <v>46206</v>
      </c>
    </row>
    <row r="79" spans="1:27" x14ac:dyDescent="0.25">
      <c r="A79" s="9" t="s">
        <v>953</v>
      </c>
      <c r="B79" s="9" t="s">
        <v>954</v>
      </c>
      <c r="C79" s="10">
        <f>_xlfn.XLOOKUP(_2026[[#This Row],[Artist]], Table3[Artist], Table3[Rating], "",)</f>
        <v>0</v>
      </c>
      <c r="D79" s="9">
        <f>_xlfn.XLOOKUP(_2026[[#This Row],[Artist]], Table3[Artist], Table3[Notes], "",)</f>
        <v>0</v>
      </c>
      <c r="E79" s="1">
        <v>46207</v>
      </c>
      <c r="F79" s="2">
        <v>0.54166666666666663</v>
      </c>
      <c r="G79" s="2">
        <v>0.58333333333333337</v>
      </c>
      <c r="H79" s="9" t="s">
        <v>923</v>
      </c>
      <c r="I79" s="9" t="s">
        <v>1395</v>
      </c>
      <c r="J79" s="9" t="s">
        <v>29</v>
      </c>
      <c r="K79" s="9" t="s">
        <v>1624</v>
      </c>
      <c r="L79" s="9" t="s">
        <v>1395</v>
      </c>
      <c r="M79" s="9" t="s">
        <v>432</v>
      </c>
      <c r="N79" s="9" t="s">
        <v>1395</v>
      </c>
      <c r="O79" s="9" t="s">
        <v>1395</v>
      </c>
      <c r="P79" s="9" t="s">
        <v>1395</v>
      </c>
      <c r="R79">
        <v>1</v>
      </c>
      <c r="S79" s="9" t="s">
        <v>67</v>
      </c>
      <c r="T79" s="9" t="s">
        <v>1395</v>
      </c>
      <c r="U79" s="9" t="s">
        <v>1395</v>
      </c>
      <c r="V79" s="9" t="s">
        <v>955</v>
      </c>
      <c r="W79" s="9" t="s">
        <v>1625</v>
      </c>
      <c r="X79" s="9" t="s">
        <v>1626</v>
      </c>
      <c r="Y79" s="9" t="s">
        <v>956</v>
      </c>
      <c r="Z79" s="9" t="s">
        <v>38</v>
      </c>
      <c r="AA79" s="1">
        <v>46207</v>
      </c>
    </row>
    <row r="80" spans="1:27" x14ac:dyDescent="0.25">
      <c r="A80" s="9" t="s">
        <v>636</v>
      </c>
      <c r="B80" s="9" t="s">
        <v>637</v>
      </c>
      <c r="C80" s="10">
        <f>_xlfn.XLOOKUP(_2026[[#This Row],[Artist]], Table3[Artist], Table3[Rating], "",)</f>
        <v>0</v>
      </c>
      <c r="D80" s="9">
        <f>_xlfn.XLOOKUP(_2026[[#This Row],[Artist]], Table3[Artist], Table3[Notes], "",)</f>
        <v>0</v>
      </c>
      <c r="E80" s="1">
        <v>46207</v>
      </c>
      <c r="F80" s="2">
        <v>0.5</v>
      </c>
      <c r="G80" s="2">
        <v>0.58333333333333337</v>
      </c>
      <c r="H80" s="9" t="s">
        <v>547</v>
      </c>
      <c r="I80" s="9" t="s">
        <v>1823</v>
      </c>
      <c r="J80" s="9" t="s">
        <v>162</v>
      </c>
      <c r="K80" s="9" t="s">
        <v>1513</v>
      </c>
      <c r="L80" s="9" t="s">
        <v>1395</v>
      </c>
      <c r="M80" s="9" t="s">
        <v>432</v>
      </c>
      <c r="N80" s="9" t="s">
        <v>1395</v>
      </c>
      <c r="O80" s="9" t="s">
        <v>1395</v>
      </c>
      <c r="P80" s="9" t="s">
        <v>1395</v>
      </c>
      <c r="R80">
        <v>1</v>
      </c>
      <c r="S80" s="9" t="s">
        <v>34</v>
      </c>
      <c r="T80" s="9" t="s">
        <v>1395</v>
      </c>
      <c r="U80" s="9" t="s">
        <v>1395</v>
      </c>
      <c r="V80" s="9" t="s">
        <v>638</v>
      </c>
      <c r="W80" s="9" t="s">
        <v>639</v>
      </c>
      <c r="X80" s="9" t="s">
        <v>1514</v>
      </c>
      <c r="Y80" s="9" t="s">
        <v>640</v>
      </c>
      <c r="Z80" s="9" t="s">
        <v>38</v>
      </c>
      <c r="AA80" s="1">
        <v>46207</v>
      </c>
    </row>
    <row r="81" spans="1:27" x14ac:dyDescent="0.25">
      <c r="A81" s="9" t="s">
        <v>1276</v>
      </c>
      <c r="B81" s="9" t="s">
        <v>1737</v>
      </c>
      <c r="C81" s="10">
        <f>_xlfn.XLOOKUP(_2026[[#This Row],[Artist]], Table3[Artist], Table3[Rating], "",)</f>
        <v>0</v>
      </c>
      <c r="D81" s="9">
        <f>_xlfn.XLOOKUP(_2026[[#This Row],[Artist]], Table3[Artist], Table3[Notes], "",)</f>
        <v>0</v>
      </c>
      <c r="E81" s="1">
        <v>46206</v>
      </c>
      <c r="F81" s="2">
        <v>0.94791666666666663</v>
      </c>
      <c r="G81" s="2">
        <v>2.0833333333333332E-2</v>
      </c>
      <c r="H81" s="9" t="s">
        <v>1843</v>
      </c>
      <c r="I81" s="9" t="s">
        <v>1277</v>
      </c>
      <c r="J81" s="9" t="s">
        <v>162</v>
      </c>
      <c r="K81" s="9" t="s">
        <v>1278</v>
      </c>
      <c r="L81" s="9" t="s">
        <v>1395</v>
      </c>
      <c r="M81" s="9" t="s">
        <v>432</v>
      </c>
      <c r="N81" s="9" t="s">
        <v>1395</v>
      </c>
      <c r="O81" s="9" t="s">
        <v>1395</v>
      </c>
      <c r="P81" s="9" t="s">
        <v>1395</v>
      </c>
      <c r="R81">
        <v>1</v>
      </c>
      <c r="S81" s="9" t="s">
        <v>67</v>
      </c>
      <c r="T81" s="9" t="s">
        <v>1395</v>
      </c>
      <c r="U81" s="9" t="s">
        <v>1395</v>
      </c>
      <c r="V81" s="9" t="s">
        <v>1279</v>
      </c>
      <c r="W81" s="9" t="s">
        <v>1280</v>
      </c>
      <c r="X81" s="9" t="s">
        <v>1281</v>
      </c>
      <c r="Y81" s="9" t="s">
        <v>1282</v>
      </c>
      <c r="Z81" s="9" t="s">
        <v>38</v>
      </c>
      <c r="AA81" s="1">
        <v>46207</v>
      </c>
    </row>
    <row r="82" spans="1:27" x14ac:dyDescent="0.25">
      <c r="A82" s="9" t="s">
        <v>167</v>
      </c>
      <c r="B82" s="9" t="s">
        <v>168</v>
      </c>
      <c r="C82" s="10">
        <f>_xlfn.XLOOKUP(_2026[[#This Row],[Artist]], Table3[Artist], Table3[Rating], "",)</f>
        <v>0</v>
      </c>
      <c r="D82" s="9">
        <f>_xlfn.XLOOKUP(_2026[[#This Row],[Artist]], Table3[Artist], Table3[Notes], "",)</f>
        <v>0</v>
      </c>
      <c r="E82" s="1">
        <v>46207</v>
      </c>
      <c r="F82" s="2">
        <v>0.67708333333333337</v>
      </c>
      <c r="G82" s="2">
        <v>0.71875</v>
      </c>
      <c r="H82" s="9" t="s">
        <v>111</v>
      </c>
      <c r="I82" s="9" t="s">
        <v>169</v>
      </c>
      <c r="J82" s="9" t="s">
        <v>29</v>
      </c>
      <c r="K82" s="9" t="s">
        <v>170</v>
      </c>
      <c r="L82" s="9" t="s">
        <v>1395</v>
      </c>
      <c r="M82" s="9" t="s">
        <v>171</v>
      </c>
      <c r="N82" s="9" t="s">
        <v>1395</v>
      </c>
      <c r="O82" s="9" t="s">
        <v>1395</v>
      </c>
      <c r="P82" s="9" t="s">
        <v>172</v>
      </c>
      <c r="Q82">
        <v>7</v>
      </c>
      <c r="S82" s="9" t="s">
        <v>67</v>
      </c>
      <c r="T82" s="9" t="s">
        <v>38</v>
      </c>
      <c r="U82" s="9" t="s">
        <v>38</v>
      </c>
      <c r="V82" s="9" t="s">
        <v>173</v>
      </c>
      <c r="W82" s="9" t="s">
        <v>1420</v>
      </c>
      <c r="X82" s="9" t="s">
        <v>1421</v>
      </c>
      <c r="Y82" s="9" t="s">
        <v>174</v>
      </c>
      <c r="Z82" s="9" t="s">
        <v>38</v>
      </c>
      <c r="AA82" s="1">
        <v>46207</v>
      </c>
    </row>
    <row r="83" spans="1:27" x14ac:dyDescent="0.25">
      <c r="A83" s="9" t="s">
        <v>175</v>
      </c>
      <c r="B83" s="9" t="s">
        <v>176</v>
      </c>
      <c r="C83" s="10">
        <f>_xlfn.XLOOKUP(_2026[[#This Row],[Artist]], Table3[Artist], Table3[Rating], "",)</f>
        <v>7</v>
      </c>
      <c r="D83" s="9" t="str">
        <f>_xlfn.XLOOKUP(_2026[[#This Row],[Artist]], Table3[Artist], Table3[Notes], "",)</f>
        <v>Afvinken maar.</v>
      </c>
      <c r="E83" s="1">
        <v>46207</v>
      </c>
      <c r="F83" s="2">
        <v>0.67708333333333337</v>
      </c>
      <c r="G83" s="2">
        <v>0.71875</v>
      </c>
      <c r="H83" s="9" t="s">
        <v>100</v>
      </c>
      <c r="I83" s="9" t="s">
        <v>177</v>
      </c>
      <c r="J83" s="9" t="s">
        <v>29</v>
      </c>
      <c r="K83" s="9" t="s">
        <v>178</v>
      </c>
      <c r="L83" s="9" t="s">
        <v>1395</v>
      </c>
      <c r="M83" s="9" t="s">
        <v>179</v>
      </c>
      <c r="N83" s="9" t="s">
        <v>1395</v>
      </c>
      <c r="O83" s="9" t="s">
        <v>1395</v>
      </c>
      <c r="P83" s="9" t="s">
        <v>180</v>
      </c>
      <c r="Q83">
        <v>9</v>
      </c>
      <c r="S83" s="9" t="s">
        <v>67</v>
      </c>
      <c r="T83" s="9" t="s">
        <v>35</v>
      </c>
      <c r="U83" s="9" t="s">
        <v>1395</v>
      </c>
      <c r="V83" s="9" t="s">
        <v>181</v>
      </c>
      <c r="W83" s="9" t="s">
        <v>1422</v>
      </c>
      <c r="X83" s="9" t="s">
        <v>182</v>
      </c>
      <c r="Y83" s="9" t="s">
        <v>183</v>
      </c>
      <c r="Z83" s="9" t="s">
        <v>38</v>
      </c>
      <c r="AA83" s="1">
        <v>46207</v>
      </c>
    </row>
    <row r="84" spans="1:27" x14ac:dyDescent="0.25">
      <c r="A84" s="9" t="s">
        <v>184</v>
      </c>
      <c r="B84" s="9" t="s">
        <v>185</v>
      </c>
      <c r="C84" s="10">
        <f>_xlfn.XLOOKUP(_2026[[#This Row],[Artist]], Table3[Artist], Table3[Rating], "",)</f>
        <v>8</v>
      </c>
      <c r="D84" s="9" t="str">
        <f>_xlfn.XLOOKUP(_2026[[#This Row],[Artist]], Table3[Artist], Table3[Notes], "",)</f>
        <v>Vroeger zou ik Amy Winhouse-kloon hebben geschreven, tegenwoordig is dat Raye-kloon. Hopen dat ze niet net zo heel veel praat.</v>
      </c>
      <c r="E84" s="1">
        <v>46207</v>
      </c>
      <c r="F84" s="2">
        <v>0.84375</v>
      </c>
      <c r="G84" s="2">
        <v>0.88541666666666663</v>
      </c>
      <c r="H84" s="9" t="s">
        <v>100</v>
      </c>
      <c r="I84" s="9" t="s">
        <v>186</v>
      </c>
      <c r="J84" s="9" t="s">
        <v>29</v>
      </c>
      <c r="K84" s="9" t="s">
        <v>187</v>
      </c>
      <c r="L84" s="9" t="s">
        <v>188</v>
      </c>
      <c r="M84" s="9" t="s">
        <v>189</v>
      </c>
      <c r="N84" s="9" t="s">
        <v>1395</v>
      </c>
      <c r="O84" s="9" t="s">
        <v>1395</v>
      </c>
      <c r="P84" s="9" t="s">
        <v>190</v>
      </c>
      <c r="Q84">
        <v>8</v>
      </c>
      <c r="S84" s="9" t="s">
        <v>34</v>
      </c>
      <c r="T84" s="9" t="s">
        <v>38</v>
      </c>
      <c r="U84" s="9" t="s">
        <v>1395</v>
      </c>
      <c r="V84" s="9" t="s">
        <v>191</v>
      </c>
      <c r="W84" s="9" t="s">
        <v>1423</v>
      </c>
      <c r="X84" s="9" t="s">
        <v>192</v>
      </c>
      <c r="Y84" s="9" t="s">
        <v>193</v>
      </c>
      <c r="Z84" s="9" t="s">
        <v>38</v>
      </c>
      <c r="AA84" s="1">
        <v>46207</v>
      </c>
    </row>
    <row r="85" spans="1:27" x14ac:dyDescent="0.25">
      <c r="A85" s="9" t="s">
        <v>1107</v>
      </c>
      <c r="B85" s="9" t="s">
        <v>1108</v>
      </c>
      <c r="C85" s="10">
        <f>_xlfn.XLOOKUP(_2026[[#This Row],[Artist]], Table3[Artist], Table3[Rating], "",)</f>
        <v>0</v>
      </c>
      <c r="D85" s="9">
        <f>_xlfn.XLOOKUP(_2026[[#This Row],[Artist]], Table3[Artist], Table3[Notes], "",)</f>
        <v>0</v>
      </c>
      <c r="E85" s="1">
        <v>46206</v>
      </c>
      <c r="F85" s="2">
        <v>0.73958333333333337</v>
      </c>
      <c r="G85" s="2">
        <v>0.77083333333333337</v>
      </c>
      <c r="H85" s="9" t="s">
        <v>1062</v>
      </c>
      <c r="I85" s="9" t="s">
        <v>1109</v>
      </c>
      <c r="J85" s="9" t="s">
        <v>162</v>
      </c>
      <c r="K85" s="9" t="s">
        <v>1660</v>
      </c>
      <c r="L85" s="9" t="s">
        <v>1395</v>
      </c>
      <c r="M85" s="9" t="s">
        <v>1110</v>
      </c>
      <c r="N85" s="9" t="s">
        <v>1395</v>
      </c>
      <c r="O85" s="9" t="s">
        <v>1395</v>
      </c>
      <c r="P85" s="9" t="s">
        <v>1395</v>
      </c>
      <c r="R85">
        <v>1</v>
      </c>
      <c r="S85" s="9" t="s">
        <v>67</v>
      </c>
      <c r="T85" s="9" t="s">
        <v>1395</v>
      </c>
      <c r="U85" s="9" t="s">
        <v>1395</v>
      </c>
      <c r="V85" s="9" t="s">
        <v>1111</v>
      </c>
      <c r="W85" s="9" t="s">
        <v>1661</v>
      </c>
      <c r="X85" s="9" t="s">
        <v>1662</v>
      </c>
      <c r="Y85" s="9" t="s">
        <v>1112</v>
      </c>
      <c r="Z85" s="9" t="s">
        <v>38</v>
      </c>
      <c r="AA85" s="1">
        <v>46206</v>
      </c>
    </row>
    <row r="86" spans="1:27" x14ac:dyDescent="0.25">
      <c r="A86" s="9" t="s">
        <v>1113</v>
      </c>
      <c r="B86" s="9" t="s">
        <v>1114</v>
      </c>
      <c r="C86" s="10">
        <f>_xlfn.XLOOKUP(_2026[[#This Row],[Artist]], Table3[Artist], Table3[Rating], "",)</f>
        <v>0</v>
      </c>
      <c r="D86" s="9">
        <f>_xlfn.XLOOKUP(_2026[[#This Row],[Artist]], Table3[Artist], Table3[Notes], "",)</f>
        <v>0</v>
      </c>
      <c r="E86" s="1">
        <v>46206</v>
      </c>
      <c r="F86" s="2">
        <v>0.90625</v>
      </c>
      <c r="G86" s="2">
        <v>0.9375</v>
      </c>
      <c r="H86" s="9" t="s">
        <v>1062</v>
      </c>
      <c r="I86" s="9" t="s">
        <v>1115</v>
      </c>
      <c r="J86" s="9" t="s">
        <v>1395</v>
      </c>
      <c r="K86" s="9" t="s">
        <v>1663</v>
      </c>
      <c r="L86" s="9" t="s">
        <v>1395</v>
      </c>
      <c r="M86" s="9" t="s">
        <v>1116</v>
      </c>
      <c r="N86" s="9" t="s">
        <v>1395</v>
      </c>
      <c r="O86" s="9" t="s">
        <v>1395</v>
      </c>
      <c r="P86" s="9" t="s">
        <v>1395</v>
      </c>
      <c r="S86" s="9" t="s">
        <v>34</v>
      </c>
      <c r="T86" s="9" t="s">
        <v>1395</v>
      </c>
      <c r="U86" s="9" t="s">
        <v>1395</v>
      </c>
      <c r="V86" s="9" t="s">
        <v>1117</v>
      </c>
      <c r="W86" s="9" t="s">
        <v>1664</v>
      </c>
      <c r="X86" s="9" t="s">
        <v>1665</v>
      </c>
      <c r="Y86" s="9" t="s">
        <v>1118</v>
      </c>
      <c r="Z86" s="9" t="s">
        <v>38</v>
      </c>
      <c r="AA86" s="1">
        <v>46206</v>
      </c>
    </row>
    <row r="87" spans="1:27" x14ac:dyDescent="0.25">
      <c r="A87" s="9" t="s">
        <v>641</v>
      </c>
      <c r="B87" s="9" t="s">
        <v>642</v>
      </c>
      <c r="C87" s="10">
        <f>_xlfn.XLOOKUP(_2026[[#This Row],[Artist]], Table3[Artist], Table3[Rating], "",)</f>
        <v>0</v>
      </c>
      <c r="D87" s="9">
        <f>_xlfn.XLOOKUP(_2026[[#This Row],[Artist]], Table3[Artist], Table3[Notes], "",)</f>
        <v>0</v>
      </c>
      <c r="E87" s="1">
        <v>46206</v>
      </c>
      <c r="F87" s="2">
        <v>0.66666666666666663</v>
      </c>
      <c r="G87" s="2">
        <v>0.70833333333333337</v>
      </c>
      <c r="H87" s="9" t="s">
        <v>547</v>
      </c>
      <c r="I87" s="9" t="s">
        <v>643</v>
      </c>
      <c r="J87" s="9" t="s">
        <v>62</v>
      </c>
      <c r="K87" s="9" t="s">
        <v>644</v>
      </c>
      <c r="L87" s="9" t="s">
        <v>1395</v>
      </c>
      <c r="M87" s="9" t="s">
        <v>645</v>
      </c>
      <c r="N87" s="9" t="s">
        <v>1395</v>
      </c>
      <c r="O87" s="9" t="s">
        <v>1395</v>
      </c>
      <c r="P87" s="9" t="s">
        <v>646</v>
      </c>
      <c r="Q87">
        <v>7</v>
      </c>
      <c r="S87" s="9" t="s">
        <v>67</v>
      </c>
      <c r="T87" s="9" t="s">
        <v>38</v>
      </c>
      <c r="U87" s="9" t="s">
        <v>1395</v>
      </c>
      <c r="V87" s="9" t="s">
        <v>647</v>
      </c>
      <c r="W87" s="9" t="s">
        <v>1515</v>
      </c>
      <c r="X87" s="9" t="s">
        <v>648</v>
      </c>
      <c r="Y87" s="9" t="s">
        <v>649</v>
      </c>
      <c r="Z87" s="9" t="s">
        <v>38</v>
      </c>
      <c r="AA87" s="1">
        <v>46206</v>
      </c>
    </row>
    <row r="88" spans="1:27" x14ac:dyDescent="0.25">
      <c r="A88" s="9" t="s">
        <v>825</v>
      </c>
      <c r="B88" s="9" t="s">
        <v>826</v>
      </c>
      <c r="C88" s="10">
        <f>_xlfn.XLOOKUP(_2026[[#This Row],[Artist]], Table3[Artist], Table3[Rating], "",)</f>
        <v>0</v>
      </c>
      <c r="D88" s="9">
        <f>_xlfn.XLOOKUP(_2026[[#This Row],[Artist]], Table3[Artist], Table3[Notes], "",)</f>
        <v>0</v>
      </c>
      <c r="E88" s="1">
        <v>46207</v>
      </c>
      <c r="F88" s="2">
        <v>0.70833333333333337</v>
      </c>
      <c r="G88" s="2">
        <v>0.77083333333333337</v>
      </c>
      <c r="H88" s="9" t="s">
        <v>743</v>
      </c>
      <c r="I88" s="9" t="s">
        <v>827</v>
      </c>
      <c r="J88" s="9" t="s">
        <v>162</v>
      </c>
      <c r="K88" s="9" t="s">
        <v>828</v>
      </c>
      <c r="L88" s="9" t="s">
        <v>1395</v>
      </c>
      <c r="M88" s="9" t="s">
        <v>432</v>
      </c>
      <c r="N88" s="9" t="s">
        <v>1395</v>
      </c>
      <c r="O88" s="9" t="s">
        <v>1395</v>
      </c>
      <c r="P88" s="9" t="s">
        <v>1395</v>
      </c>
      <c r="R88">
        <v>1</v>
      </c>
      <c r="S88" s="9" t="s">
        <v>829</v>
      </c>
      <c r="T88" s="9" t="s">
        <v>1395</v>
      </c>
      <c r="U88" s="9" t="s">
        <v>1395</v>
      </c>
      <c r="V88" s="9" t="s">
        <v>830</v>
      </c>
      <c r="W88" s="9" t="s">
        <v>831</v>
      </c>
      <c r="X88" s="9" t="s">
        <v>832</v>
      </c>
      <c r="Y88" s="9" t="s">
        <v>833</v>
      </c>
      <c r="Z88" s="9" t="s">
        <v>38</v>
      </c>
      <c r="AA88" s="1">
        <v>46207</v>
      </c>
    </row>
    <row r="89" spans="1:27" x14ac:dyDescent="0.25">
      <c r="A89" s="9" t="s">
        <v>388</v>
      </c>
      <c r="B89" s="9" t="s">
        <v>389</v>
      </c>
      <c r="C89" s="10">
        <f>_xlfn.XLOOKUP(_2026[[#This Row],[Artist]], Table3[Artist], Table3[Rating], "",)</f>
        <v>7</v>
      </c>
      <c r="D89" s="9" t="str">
        <f>_xlfn.XLOOKUP(_2026[[#This Row],[Artist]], Table3[Artist], Table3[Notes], "",)</f>
        <v>Singer-songwriter, maar geen geknauw-zang. Klinkt sympathiek. Beetje te gezellig - op een gegeven moment ga je snakken naar een uithaal.</v>
      </c>
      <c r="E89" s="1">
        <v>46206</v>
      </c>
      <c r="F89" s="2">
        <v>0.85416666666666663</v>
      </c>
      <c r="G89" s="2">
        <v>0.89583333333333337</v>
      </c>
      <c r="H89" s="9" t="s">
        <v>111</v>
      </c>
      <c r="I89" s="9" t="s">
        <v>390</v>
      </c>
      <c r="J89" s="9" t="s">
        <v>62</v>
      </c>
      <c r="K89" s="9" t="s">
        <v>391</v>
      </c>
      <c r="L89" s="9" t="s">
        <v>392</v>
      </c>
      <c r="M89" s="9" t="s">
        <v>393</v>
      </c>
      <c r="N89" s="9" t="s">
        <v>1395</v>
      </c>
      <c r="O89" s="9" t="s">
        <v>1395</v>
      </c>
      <c r="P89" s="9" t="s">
        <v>394</v>
      </c>
      <c r="Q89">
        <v>8</v>
      </c>
      <c r="S89" s="9" t="s">
        <v>67</v>
      </c>
      <c r="T89" s="9" t="s">
        <v>35</v>
      </c>
      <c r="U89" s="9" t="s">
        <v>1395</v>
      </c>
      <c r="V89" s="9" t="s">
        <v>395</v>
      </c>
      <c r="W89" s="9" t="s">
        <v>1472</v>
      </c>
      <c r="X89" s="9" t="s">
        <v>1473</v>
      </c>
      <c r="Y89" s="9" t="s">
        <v>396</v>
      </c>
      <c r="Z89" s="9" t="s">
        <v>38</v>
      </c>
      <c r="AA89" s="1">
        <v>46206</v>
      </c>
    </row>
    <row r="90" spans="1:27" x14ac:dyDescent="0.25">
      <c r="A90" s="9" t="s">
        <v>1145</v>
      </c>
      <c r="B90" s="9" t="s">
        <v>1146</v>
      </c>
      <c r="C90" s="10">
        <f>_xlfn.XLOOKUP(_2026[[#This Row],[Artist]], Table3[Artist], Table3[Rating], "",)</f>
        <v>0</v>
      </c>
      <c r="D90" s="9">
        <f>_xlfn.XLOOKUP(_2026[[#This Row],[Artist]], Table3[Artist], Table3[Notes], "",)</f>
        <v>0</v>
      </c>
      <c r="E90" s="1">
        <v>46208</v>
      </c>
      <c r="F90" s="2">
        <v>0.57291666666666663</v>
      </c>
      <c r="G90" s="2">
        <v>0.60416666666666663</v>
      </c>
      <c r="H90" s="9" t="s">
        <v>1062</v>
      </c>
      <c r="I90" s="9" t="s">
        <v>1395</v>
      </c>
      <c r="J90" s="9" t="s">
        <v>1147</v>
      </c>
      <c r="K90" s="9" t="s">
        <v>1679</v>
      </c>
      <c r="L90" s="9" t="s">
        <v>1395</v>
      </c>
      <c r="M90" s="9" t="s">
        <v>432</v>
      </c>
      <c r="N90" s="9" t="s">
        <v>1395</v>
      </c>
      <c r="O90" s="9" t="s">
        <v>1395</v>
      </c>
      <c r="P90" s="9" t="s">
        <v>1395</v>
      </c>
      <c r="R90">
        <v>2</v>
      </c>
      <c r="S90" s="9" t="s">
        <v>1395</v>
      </c>
      <c r="T90" s="9" t="s">
        <v>1395</v>
      </c>
      <c r="U90" s="9" t="s">
        <v>1395</v>
      </c>
      <c r="V90" s="9" t="s">
        <v>1148</v>
      </c>
      <c r="W90" s="9" t="s">
        <v>1680</v>
      </c>
      <c r="X90" s="9" t="s">
        <v>1681</v>
      </c>
      <c r="Y90" s="9" t="s">
        <v>1149</v>
      </c>
      <c r="Z90" s="9" t="s">
        <v>38</v>
      </c>
      <c r="AA90" s="1">
        <v>46208</v>
      </c>
    </row>
    <row r="91" spans="1:27" x14ac:dyDescent="0.25">
      <c r="A91" s="9" t="s">
        <v>834</v>
      </c>
      <c r="B91" s="9" t="s">
        <v>835</v>
      </c>
      <c r="C91" s="10">
        <f>_xlfn.XLOOKUP(_2026[[#This Row],[Artist]], Table3[Artist], Table3[Rating], "",)</f>
        <v>0</v>
      </c>
      <c r="D91" s="9">
        <f>_xlfn.XLOOKUP(_2026[[#This Row],[Artist]], Table3[Artist], Table3[Notes], "",)</f>
        <v>0</v>
      </c>
      <c r="E91" s="1">
        <v>46206</v>
      </c>
      <c r="F91" s="2">
        <v>0.95833333333333337</v>
      </c>
      <c r="G91" s="2">
        <v>2.0833333333333332E-2</v>
      </c>
      <c r="H91" s="9" t="s">
        <v>743</v>
      </c>
      <c r="I91" s="9" t="s">
        <v>1828</v>
      </c>
      <c r="J91" s="9" t="s">
        <v>812</v>
      </c>
      <c r="K91" s="9" t="s">
        <v>1572</v>
      </c>
      <c r="L91" s="9" t="s">
        <v>1395</v>
      </c>
      <c r="M91" s="9" t="s">
        <v>836</v>
      </c>
      <c r="N91" s="9" t="s">
        <v>1395</v>
      </c>
      <c r="O91" s="9" t="s">
        <v>1395</v>
      </c>
      <c r="P91" s="9" t="s">
        <v>1395</v>
      </c>
      <c r="R91">
        <v>1</v>
      </c>
      <c r="S91" s="9" t="s">
        <v>34</v>
      </c>
      <c r="T91" s="9" t="s">
        <v>38</v>
      </c>
      <c r="U91" s="9" t="s">
        <v>38</v>
      </c>
      <c r="V91" s="9" t="s">
        <v>837</v>
      </c>
      <c r="W91" s="9" t="s">
        <v>1573</v>
      </c>
      <c r="X91" s="9" t="s">
        <v>1574</v>
      </c>
      <c r="Y91" s="9" t="s">
        <v>838</v>
      </c>
      <c r="Z91" s="9" t="s">
        <v>38</v>
      </c>
      <c r="AA91" s="1">
        <v>46207</v>
      </c>
    </row>
    <row r="92" spans="1:27" x14ac:dyDescent="0.25">
      <c r="A92" s="9" t="s">
        <v>397</v>
      </c>
      <c r="B92" s="9" t="s">
        <v>1474</v>
      </c>
      <c r="C92" s="10">
        <f>_xlfn.XLOOKUP(_2026[[#This Row],[Artist]], Table3[Artist], Table3[Rating], "",)</f>
        <v>8</v>
      </c>
      <c r="D92" s="9" t="str">
        <f>_xlfn.XLOOKUP(_2026[[#This Row],[Artist]], Table3[Artist], Table3[Notes], "",)</f>
        <v>Dit is de band die regenpijpen bespeelt met hun slippers!</v>
      </c>
      <c r="E92" s="1">
        <v>46208</v>
      </c>
      <c r="F92" s="2">
        <v>0.52083333333333337</v>
      </c>
      <c r="G92" s="2">
        <v>0.5625</v>
      </c>
      <c r="H92" s="9" t="s">
        <v>100</v>
      </c>
      <c r="I92" s="9" t="s">
        <v>398</v>
      </c>
      <c r="J92" s="9" t="s">
        <v>399</v>
      </c>
      <c r="K92" s="9" t="s">
        <v>400</v>
      </c>
      <c r="L92" s="9" t="s">
        <v>1395</v>
      </c>
      <c r="M92" s="9" t="s">
        <v>401</v>
      </c>
      <c r="N92" s="9" t="s">
        <v>1395</v>
      </c>
      <c r="O92" s="9" t="s">
        <v>1395</v>
      </c>
      <c r="P92" s="9" t="s">
        <v>402</v>
      </c>
      <c r="Q92">
        <v>7</v>
      </c>
      <c r="S92" s="9" t="s">
        <v>55</v>
      </c>
      <c r="T92" s="9" t="s">
        <v>38</v>
      </c>
      <c r="U92" s="9" t="s">
        <v>1395</v>
      </c>
      <c r="V92" s="9" t="s">
        <v>403</v>
      </c>
      <c r="W92" s="9" t="s">
        <v>404</v>
      </c>
      <c r="X92" s="9" t="s">
        <v>405</v>
      </c>
      <c r="Y92" s="9" t="s">
        <v>406</v>
      </c>
      <c r="Z92" s="9" t="s">
        <v>38</v>
      </c>
      <c r="AA92" s="1">
        <v>46208</v>
      </c>
    </row>
    <row r="93" spans="1:27" x14ac:dyDescent="0.25">
      <c r="A93" s="9" t="s">
        <v>1356</v>
      </c>
      <c r="B93" s="9" t="s">
        <v>1357</v>
      </c>
      <c r="C93" s="10">
        <f>_xlfn.XLOOKUP(_2026[[#This Row],[Artist]], Table3[Artist], Table3[Rating], "",)</f>
        <v>0</v>
      </c>
      <c r="D93" s="9">
        <f>_xlfn.XLOOKUP(_2026[[#This Row],[Artist]], Table3[Artist], Table3[Notes], "",)</f>
        <v>0</v>
      </c>
      <c r="E93" s="1">
        <v>46206</v>
      </c>
      <c r="F93" s="2">
        <v>0.45833333333333331</v>
      </c>
      <c r="G93" s="2">
        <v>0.5625</v>
      </c>
      <c r="H93" s="9" t="s">
        <v>1342</v>
      </c>
      <c r="I93" s="9" t="s">
        <v>1395</v>
      </c>
      <c r="J93" s="9" t="s">
        <v>162</v>
      </c>
      <c r="K93" s="9" t="s">
        <v>1753</v>
      </c>
      <c r="L93" s="9" t="s">
        <v>1395</v>
      </c>
      <c r="M93" s="9" t="s">
        <v>432</v>
      </c>
      <c r="N93" s="9" t="s">
        <v>1395</v>
      </c>
      <c r="O93" s="9" t="s">
        <v>1395</v>
      </c>
      <c r="P93" s="9" t="s">
        <v>1395</v>
      </c>
      <c r="S93" s="9" t="s">
        <v>1395</v>
      </c>
      <c r="T93" s="9" t="s">
        <v>1395</v>
      </c>
      <c r="U93" s="9" t="s">
        <v>1395</v>
      </c>
      <c r="V93" s="9" t="s">
        <v>1358</v>
      </c>
      <c r="W93" s="9" t="s">
        <v>1754</v>
      </c>
      <c r="X93" s="9" t="s">
        <v>1755</v>
      </c>
      <c r="Y93" s="9" t="s">
        <v>1359</v>
      </c>
      <c r="Z93" s="9" t="s">
        <v>38</v>
      </c>
      <c r="AA93" s="1">
        <v>46206</v>
      </c>
    </row>
    <row r="94" spans="1:27" x14ac:dyDescent="0.25">
      <c r="A94" s="9" t="s">
        <v>1150</v>
      </c>
      <c r="B94" s="9" t="s">
        <v>1151</v>
      </c>
      <c r="C94" s="10">
        <f>_xlfn.XLOOKUP(_2026[[#This Row],[Artist]], Table3[Artist], Table3[Rating], "",)</f>
        <v>0</v>
      </c>
      <c r="D94" s="9">
        <f>_xlfn.XLOOKUP(_2026[[#This Row],[Artist]], Table3[Artist], Table3[Notes], "",)</f>
        <v>0</v>
      </c>
      <c r="E94" s="1">
        <v>46208</v>
      </c>
      <c r="F94" s="2">
        <v>0.48958333333333331</v>
      </c>
      <c r="G94" s="2">
        <v>0.53125</v>
      </c>
      <c r="H94" s="9" t="s">
        <v>1062</v>
      </c>
      <c r="I94" s="9" t="s">
        <v>1395</v>
      </c>
      <c r="J94" s="9" t="s">
        <v>162</v>
      </c>
      <c r="K94" s="9" t="s">
        <v>1682</v>
      </c>
      <c r="L94" s="9" t="s">
        <v>1395</v>
      </c>
      <c r="M94" s="9" t="s">
        <v>432</v>
      </c>
      <c r="N94" s="9" t="s">
        <v>1395</v>
      </c>
      <c r="O94" s="9" t="s">
        <v>1395</v>
      </c>
      <c r="P94" s="9" t="s">
        <v>1395</v>
      </c>
      <c r="S94" s="9" t="s">
        <v>1395</v>
      </c>
      <c r="T94" s="9" t="s">
        <v>1395</v>
      </c>
      <c r="U94" s="9" t="s">
        <v>1395</v>
      </c>
      <c r="V94" s="9" t="s">
        <v>1152</v>
      </c>
      <c r="W94" s="9" t="s">
        <v>1683</v>
      </c>
      <c r="X94" s="9" t="s">
        <v>1684</v>
      </c>
      <c r="Y94" s="9" t="s">
        <v>1153</v>
      </c>
      <c r="Z94" s="9" t="s">
        <v>38</v>
      </c>
      <c r="AA94" s="1">
        <v>46208</v>
      </c>
    </row>
    <row r="95" spans="1:27" x14ac:dyDescent="0.25">
      <c r="A95" s="9" t="s">
        <v>1700</v>
      </c>
      <c r="B95" s="9" t="s">
        <v>1179</v>
      </c>
      <c r="C95" s="10">
        <f>_xlfn.XLOOKUP(_2026[[#This Row],[Artist]], Table3[Artist], Table3[Rating], "",)</f>
        <v>0</v>
      </c>
      <c r="D95" s="9">
        <f>_xlfn.XLOOKUP(_2026[[#This Row],[Artist]], Table3[Artist], Table3[Notes], "",)</f>
        <v>0</v>
      </c>
      <c r="E95" s="1">
        <v>46206</v>
      </c>
      <c r="F95" s="2">
        <v>0.72916666666666663</v>
      </c>
      <c r="G95" s="2">
        <v>0.76041666666666663</v>
      </c>
      <c r="H95" s="9" t="s">
        <v>408</v>
      </c>
      <c r="I95" s="9" t="s">
        <v>1395</v>
      </c>
      <c r="J95" s="9" t="s">
        <v>458</v>
      </c>
      <c r="K95" s="9" t="s">
        <v>1701</v>
      </c>
      <c r="L95" s="9" t="s">
        <v>1395</v>
      </c>
      <c r="M95" s="9" t="s">
        <v>1180</v>
      </c>
      <c r="N95" s="9" t="s">
        <v>1395</v>
      </c>
      <c r="O95" s="9" t="s">
        <v>1395</v>
      </c>
      <c r="P95" s="9" t="s">
        <v>1395</v>
      </c>
      <c r="R95">
        <v>5</v>
      </c>
      <c r="S95" s="9" t="s">
        <v>34</v>
      </c>
      <c r="T95" s="9" t="s">
        <v>1395</v>
      </c>
      <c r="U95" s="9" t="s">
        <v>1395</v>
      </c>
      <c r="V95" s="9" t="s">
        <v>1181</v>
      </c>
      <c r="W95" s="9" t="s">
        <v>1702</v>
      </c>
      <c r="X95" s="9" t="s">
        <v>1703</v>
      </c>
      <c r="Y95" s="9" t="s">
        <v>1182</v>
      </c>
      <c r="Z95" s="9" t="s">
        <v>38</v>
      </c>
      <c r="AA95" s="1">
        <v>46206</v>
      </c>
    </row>
    <row r="96" spans="1:27" x14ac:dyDescent="0.25">
      <c r="A96" s="9" t="s">
        <v>957</v>
      </c>
      <c r="B96" s="9" t="s">
        <v>958</v>
      </c>
      <c r="C96" s="10">
        <f>_xlfn.XLOOKUP(_2026[[#This Row],[Artist]], Table3[Artist], Table3[Rating], "",)</f>
        <v>0</v>
      </c>
      <c r="D96" s="9">
        <f>_xlfn.XLOOKUP(_2026[[#This Row],[Artist]], Table3[Artist], Table3[Notes], "",)</f>
        <v>0</v>
      </c>
      <c r="E96" s="1">
        <v>46206</v>
      </c>
      <c r="F96" s="2">
        <v>0.83333333333333337</v>
      </c>
      <c r="G96" s="2">
        <v>0.875</v>
      </c>
      <c r="H96" s="9" t="s">
        <v>923</v>
      </c>
      <c r="I96" s="9" t="s">
        <v>161</v>
      </c>
      <c r="J96" s="9" t="s">
        <v>162</v>
      </c>
      <c r="K96" s="9" t="s">
        <v>1627</v>
      </c>
      <c r="L96" s="9" t="s">
        <v>1395</v>
      </c>
      <c r="M96" s="9" t="s">
        <v>959</v>
      </c>
      <c r="N96" s="9" t="s">
        <v>1395</v>
      </c>
      <c r="O96" s="9" t="s">
        <v>1395</v>
      </c>
      <c r="P96" s="9" t="s">
        <v>1395</v>
      </c>
      <c r="R96">
        <v>2</v>
      </c>
      <c r="S96" s="9" t="s">
        <v>1395</v>
      </c>
      <c r="T96" s="9" t="s">
        <v>1395</v>
      </c>
      <c r="U96" s="9" t="s">
        <v>1395</v>
      </c>
      <c r="V96" s="9" t="s">
        <v>960</v>
      </c>
      <c r="W96" s="9" t="s">
        <v>1628</v>
      </c>
      <c r="X96" s="9" t="s">
        <v>1629</v>
      </c>
      <c r="Y96" s="9" t="s">
        <v>961</v>
      </c>
      <c r="Z96" s="9" t="s">
        <v>38</v>
      </c>
      <c r="AA96" s="1">
        <v>46206</v>
      </c>
    </row>
    <row r="97" spans="1:27" x14ac:dyDescent="0.25">
      <c r="A97" s="9" t="s">
        <v>839</v>
      </c>
      <c r="B97" s="9" t="s">
        <v>840</v>
      </c>
      <c r="C97" s="10">
        <f>_xlfn.XLOOKUP(_2026[[#This Row],[Artist]], Table3[Artist], Table3[Rating], "",)</f>
        <v>0</v>
      </c>
      <c r="D97" s="9">
        <f>_xlfn.XLOOKUP(_2026[[#This Row],[Artist]], Table3[Artist], Table3[Notes], "",)</f>
        <v>0</v>
      </c>
      <c r="E97" s="1">
        <v>46207</v>
      </c>
      <c r="F97" s="2">
        <v>8.3333333333333329E-2</v>
      </c>
      <c r="G97" s="2">
        <v>0.14583333333333334</v>
      </c>
      <c r="H97" s="9" t="s">
        <v>743</v>
      </c>
      <c r="I97" s="9" t="s">
        <v>1829</v>
      </c>
      <c r="J97" s="9" t="s">
        <v>162</v>
      </c>
      <c r="K97" s="9" t="s">
        <v>841</v>
      </c>
      <c r="L97" s="9" t="s">
        <v>1395</v>
      </c>
      <c r="M97" s="9" t="s">
        <v>842</v>
      </c>
      <c r="N97" s="9" t="s">
        <v>1395</v>
      </c>
      <c r="O97" s="9" t="s">
        <v>1395</v>
      </c>
      <c r="P97" s="9" t="s">
        <v>1395</v>
      </c>
      <c r="R97">
        <v>1</v>
      </c>
      <c r="S97" s="9" t="s">
        <v>1395</v>
      </c>
      <c r="T97" s="9" t="s">
        <v>38</v>
      </c>
      <c r="U97" s="9" t="s">
        <v>1395</v>
      </c>
      <c r="V97" s="9" t="s">
        <v>843</v>
      </c>
      <c r="W97" s="9" t="s">
        <v>844</v>
      </c>
      <c r="X97" s="9" t="s">
        <v>845</v>
      </c>
      <c r="Y97" s="9" t="s">
        <v>846</v>
      </c>
      <c r="Z97" s="9" t="s">
        <v>38</v>
      </c>
      <c r="AA97" s="1">
        <v>46207</v>
      </c>
    </row>
    <row r="98" spans="1:27" x14ac:dyDescent="0.25">
      <c r="A98" s="9" t="s">
        <v>962</v>
      </c>
      <c r="B98" s="9" t="s">
        <v>963</v>
      </c>
      <c r="C98" s="10">
        <f>_xlfn.XLOOKUP(_2026[[#This Row],[Artist]], Table3[Artist], Table3[Rating], "",)</f>
        <v>0</v>
      </c>
      <c r="D98" s="9">
        <f>_xlfn.XLOOKUP(_2026[[#This Row],[Artist]], Table3[Artist], Table3[Notes], "",)</f>
        <v>0</v>
      </c>
      <c r="E98" s="1">
        <v>46207</v>
      </c>
      <c r="F98" s="2">
        <v>0.875</v>
      </c>
      <c r="G98" s="2">
        <v>0.95833333333333337</v>
      </c>
      <c r="H98" s="9" t="s">
        <v>923</v>
      </c>
      <c r="I98" s="9" t="s">
        <v>1395</v>
      </c>
      <c r="J98" s="9" t="s">
        <v>162</v>
      </c>
      <c r="K98" s="9" t="s">
        <v>964</v>
      </c>
      <c r="L98" s="9" t="s">
        <v>1395</v>
      </c>
      <c r="M98" s="9" t="s">
        <v>432</v>
      </c>
      <c r="N98" s="9" t="s">
        <v>1395</v>
      </c>
      <c r="O98" s="9" t="s">
        <v>1395</v>
      </c>
      <c r="P98" s="9" t="s">
        <v>1395</v>
      </c>
      <c r="R98">
        <v>1</v>
      </c>
      <c r="S98" s="9" t="s">
        <v>34</v>
      </c>
      <c r="T98" s="9" t="s">
        <v>38</v>
      </c>
      <c r="U98" s="9" t="s">
        <v>1395</v>
      </c>
      <c r="V98" s="9" t="s">
        <v>965</v>
      </c>
      <c r="W98" s="9" t="s">
        <v>966</v>
      </c>
      <c r="X98" s="9" t="s">
        <v>967</v>
      </c>
      <c r="Y98" s="9" t="s">
        <v>968</v>
      </c>
      <c r="Z98" s="9" t="s">
        <v>38</v>
      </c>
      <c r="AA98" s="1">
        <v>46207</v>
      </c>
    </row>
    <row r="99" spans="1:27" x14ac:dyDescent="0.25">
      <c r="A99" s="9" t="s">
        <v>1157</v>
      </c>
      <c r="B99" s="9" t="s">
        <v>1158</v>
      </c>
      <c r="C99" s="10">
        <f>_xlfn.XLOOKUP(_2026[[#This Row],[Artist]], Table3[Artist], Table3[Rating], "",)</f>
        <v>0</v>
      </c>
      <c r="D99" s="9">
        <f>_xlfn.XLOOKUP(_2026[[#This Row],[Artist]], Table3[Artist], Table3[Notes], "",)</f>
        <v>0</v>
      </c>
      <c r="E99" s="1">
        <v>46023</v>
      </c>
      <c r="F99" s="2">
        <v>0</v>
      </c>
      <c r="G99" s="2">
        <v>0</v>
      </c>
      <c r="H99" s="9" t="s">
        <v>1395</v>
      </c>
      <c r="I99" s="9" t="s">
        <v>1395</v>
      </c>
      <c r="J99" s="9" t="s">
        <v>143</v>
      </c>
      <c r="K99" s="9" t="s">
        <v>1689</v>
      </c>
      <c r="L99" s="9" t="s">
        <v>1395</v>
      </c>
      <c r="M99" s="9" t="s">
        <v>432</v>
      </c>
      <c r="N99" s="9" t="s">
        <v>1395</v>
      </c>
      <c r="O99" s="9" t="s">
        <v>1395</v>
      </c>
      <c r="P99" s="9" t="s">
        <v>1395</v>
      </c>
      <c r="R99">
        <v>2</v>
      </c>
      <c r="S99" s="9" t="s">
        <v>55</v>
      </c>
      <c r="T99" s="9" t="s">
        <v>1395</v>
      </c>
      <c r="U99" s="9" t="s">
        <v>1395</v>
      </c>
      <c r="V99" s="9" t="s">
        <v>1159</v>
      </c>
      <c r="W99" s="9" t="s">
        <v>1690</v>
      </c>
      <c r="X99" s="9" t="s">
        <v>1691</v>
      </c>
      <c r="Y99" s="9" t="s">
        <v>1160</v>
      </c>
      <c r="Z99" s="9" t="s">
        <v>38</v>
      </c>
      <c r="AA99" s="1">
        <v>46023</v>
      </c>
    </row>
    <row r="100" spans="1:27" x14ac:dyDescent="0.25">
      <c r="A100" s="9" t="s">
        <v>39</v>
      </c>
      <c r="B100" s="9" t="s">
        <v>1398</v>
      </c>
      <c r="C100" s="10">
        <f>_xlfn.XLOOKUP(_2026[[#This Row],[Artist]], Table3[Artist], Table3[Rating], "",)</f>
        <v>8</v>
      </c>
      <c r="D100" s="9" t="str">
        <f>_xlfn.XLOOKUP(_2026[[#This Row],[Artist]], Table3[Artist], Table3[Notes], "",)</f>
        <v>Lekkere stem, fijne beats</v>
      </c>
      <c r="E100" s="1">
        <v>46206</v>
      </c>
      <c r="F100" s="2">
        <v>0.98611111111111116</v>
      </c>
      <c r="G100" s="2">
        <v>4.1666666666666664E-2</v>
      </c>
      <c r="H100" s="9" t="s">
        <v>27</v>
      </c>
      <c r="I100" s="9" t="s">
        <v>40</v>
      </c>
      <c r="J100" s="9" t="s">
        <v>29</v>
      </c>
      <c r="K100" s="9" t="s">
        <v>41</v>
      </c>
      <c r="L100" s="9" t="s">
        <v>42</v>
      </c>
      <c r="M100" s="9" t="s">
        <v>43</v>
      </c>
      <c r="N100" s="9" t="s">
        <v>1395</v>
      </c>
      <c r="O100" s="9" t="s">
        <v>1395</v>
      </c>
      <c r="P100" s="9" t="s">
        <v>44</v>
      </c>
      <c r="Q100">
        <v>9</v>
      </c>
      <c r="S100" s="9" t="s">
        <v>34</v>
      </c>
      <c r="T100" s="9" t="s">
        <v>38</v>
      </c>
      <c r="U100" s="9" t="s">
        <v>1395</v>
      </c>
      <c r="V100" s="9" t="s">
        <v>45</v>
      </c>
      <c r="W100" s="9" t="s">
        <v>1399</v>
      </c>
      <c r="X100" s="9" t="s">
        <v>46</v>
      </c>
      <c r="Y100" s="9" t="s">
        <v>47</v>
      </c>
      <c r="Z100" s="9" t="s">
        <v>38</v>
      </c>
      <c r="AA100" s="1">
        <v>46207</v>
      </c>
    </row>
    <row r="101" spans="1:27" x14ac:dyDescent="0.25">
      <c r="A101" s="9" t="s">
        <v>1719</v>
      </c>
      <c r="B101" s="9" t="s">
        <v>1238</v>
      </c>
      <c r="C101" s="10">
        <f>_xlfn.XLOOKUP(_2026[[#This Row],[Artist]], Table3[Artist], Table3[Rating], "",)</f>
        <v>0</v>
      </c>
      <c r="D101" s="9">
        <f>_xlfn.XLOOKUP(_2026[[#This Row],[Artist]], Table3[Artist], Table3[Notes], "",)</f>
        <v>0</v>
      </c>
      <c r="E101" s="1">
        <v>46208</v>
      </c>
      <c r="F101" s="2">
        <v>0.48958333333333331</v>
      </c>
      <c r="G101" s="2">
        <v>0.52083333333333337</v>
      </c>
      <c r="H101" s="9" t="s">
        <v>408</v>
      </c>
      <c r="I101" s="9" t="s">
        <v>1239</v>
      </c>
      <c r="J101" s="9" t="s">
        <v>607</v>
      </c>
      <c r="K101" s="9" t="s">
        <v>1720</v>
      </c>
      <c r="L101" s="9" t="s">
        <v>1395</v>
      </c>
      <c r="M101" s="9" t="s">
        <v>432</v>
      </c>
      <c r="N101" s="9" t="s">
        <v>1395</v>
      </c>
      <c r="O101" s="9" t="s">
        <v>1395</v>
      </c>
      <c r="P101" s="9" t="s">
        <v>1395</v>
      </c>
      <c r="S101" s="9" t="s">
        <v>1395</v>
      </c>
      <c r="T101" s="9" t="s">
        <v>1395</v>
      </c>
      <c r="U101" s="9" t="s">
        <v>1395</v>
      </c>
      <c r="V101" s="9" t="s">
        <v>1240</v>
      </c>
      <c r="W101" s="9" t="s">
        <v>1721</v>
      </c>
      <c r="X101" s="9" t="s">
        <v>1722</v>
      </c>
      <c r="Y101" s="9" t="s">
        <v>1241</v>
      </c>
      <c r="Z101" s="9" t="s">
        <v>38</v>
      </c>
      <c r="AA101" s="1">
        <v>46208</v>
      </c>
    </row>
    <row r="102" spans="1:27" x14ac:dyDescent="0.25">
      <c r="A102" s="9" t="s">
        <v>81</v>
      </c>
      <c r="B102" s="9" t="s">
        <v>82</v>
      </c>
      <c r="C102" s="10">
        <f>_xlfn.XLOOKUP(_2026[[#This Row],[Artist]], Table3[Artist], Table3[Rating], "",)</f>
        <v>7</v>
      </c>
      <c r="D102" s="9" t="str">
        <f>_xlfn.XLOOKUP(_2026[[#This Row],[Artist]], Table3[Artist], Table3[Notes], "",)</f>
        <v>Je kunt ook zo laidback zijn dat je publiek in slaap valt.</v>
      </c>
      <c r="E102" s="1">
        <v>46208</v>
      </c>
      <c r="F102" s="2">
        <v>0.8125</v>
      </c>
      <c r="G102" s="2">
        <v>0.85416666666666663</v>
      </c>
      <c r="H102" s="9" t="s">
        <v>27</v>
      </c>
      <c r="I102" s="9" t="s">
        <v>83</v>
      </c>
      <c r="J102" s="9" t="s">
        <v>29</v>
      </c>
      <c r="K102" s="9" t="s">
        <v>84</v>
      </c>
      <c r="L102" s="9" t="s">
        <v>85</v>
      </c>
      <c r="M102" s="9" t="s">
        <v>86</v>
      </c>
      <c r="N102" s="9" t="s">
        <v>1395</v>
      </c>
      <c r="O102" s="9" t="s">
        <v>1395</v>
      </c>
      <c r="P102" s="9" t="s">
        <v>87</v>
      </c>
      <c r="Q102">
        <v>8</v>
      </c>
      <c r="S102" s="9" t="s">
        <v>67</v>
      </c>
      <c r="T102" s="9" t="s">
        <v>38</v>
      </c>
      <c r="U102" s="9" t="s">
        <v>1395</v>
      </c>
      <c r="V102" s="9" t="s">
        <v>88</v>
      </c>
      <c r="W102" s="9" t="s">
        <v>1404</v>
      </c>
      <c r="X102" s="9" t="s">
        <v>1405</v>
      </c>
      <c r="Y102" s="9" t="s">
        <v>89</v>
      </c>
      <c r="Z102" s="9" t="s">
        <v>38</v>
      </c>
      <c r="AA102" s="1">
        <v>46208</v>
      </c>
    </row>
    <row r="103" spans="1:27" x14ac:dyDescent="0.25">
      <c r="A103" s="9" t="s">
        <v>1475</v>
      </c>
      <c r="B103" s="9" t="s">
        <v>407</v>
      </c>
      <c r="C103" s="10">
        <f>_xlfn.XLOOKUP(_2026[[#This Row],[Artist]], Table3[Artist], Table3[Rating], "",)</f>
        <v>0</v>
      </c>
      <c r="D103" s="9">
        <f>_xlfn.XLOOKUP(_2026[[#This Row],[Artist]], Table3[Artist], Table3[Notes], "",)</f>
        <v>0</v>
      </c>
      <c r="E103" s="1">
        <v>46207</v>
      </c>
      <c r="F103" s="2">
        <v>0.5625</v>
      </c>
      <c r="G103" s="2">
        <v>0.59375</v>
      </c>
      <c r="H103" s="9" t="s">
        <v>408</v>
      </c>
      <c r="I103" s="9" t="s">
        <v>409</v>
      </c>
      <c r="J103" s="9" t="s">
        <v>162</v>
      </c>
      <c r="K103" s="9" t="s">
        <v>1476</v>
      </c>
      <c r="L103" s="9" t="s">
        <v>410</v>
      </c>
      <c r="M103" s="9" t="s">
        <v>411</v>
      </c>
      <c r="N103" s="9" t="s">
        <v>1395</v>
      </c>
      <c r="O103" s="9" t="s">
        <v>1395</v>
      </c>
      <c r="P103" s="9" t="s">
        <v>412</v>
      </c>
      <c r="Q103">
        <v>6</v>
      </c>
      <c r="R103">
        <v>2</v>
      </c>
      <c r="S103" s="9" t="s">
        <v>55</v>
      </c>
      <c r="T103" s="9" t="s">
        <v>1395</v>
      </c>
      <c r="U103" s="9" t="s">
        <v>1395</v>
      </c>
      <c r="V103" s="9" t="s">
        <v>413</v>
      </c>
      <c r="W103" s="9" t="s">
        <v>414</v>
      </c>
      <c r="X103" s="9" t="s">
        <v>415</v>
      </c>
      <c r="Y103" s="9" t="s">
        <v>416</v>
      </c>
      <c r="Z103" s="9" t="s">
        <v>38</v>
      </c>
      <c r="AA103" s="1">
        <v>46207</v>
      </c>
    </row>
    <row r="104" spans="1:27" x14ac:dyDescent="0.25">
      <c r="A104" s="9" t="s">
        <v>650</v>
      </c>
      <c r="B104" s="9" t="s">
        <v>651</v>
      </c>
      <c r="C104" s="10">
        <f>_xlfn.XLOOKUP(_2026[[#This Row],[Artist]], Table3[Artist], Table3[Rating], "",)</f>
        <v>0</v>
      </c>
      <c r="D104" s="9">
        <f>_xlfn.XLOOKUP(_2026[[#This Row],[Artist]], Table3[Artist], Table3[Notes], "",)</f>
        <v>0</v>
      </c>
      <c r="E104" s="1">
        <v>46208</v>
      </c>
      <c r="F104" s="2">
        <v>0.6875</v>
      </c>
      <c r="G104" s="2">
        <v>0.72916666666666663</v>
      </c>
      <c r="H104" s="9" t="s">
        <v>547</v>
      </c>
      <c r="I104" s="9" t="s">
        <v>652</v>
      </c>
      <c r="J104" s="9" t="s">
        <v>162</v>
      </c>
      <c r="K104" s="9" t="s">
        <v>1516</v>
      </c>
      <c r="L104" s="9" t="s">
        <v>1395</v>
      </c>
      <c r="M104" s="9" t="s">
        <v>653</v>
      </c>
      <c r="N104" s="9" t="s">
        <v>1395</v>
      </c>
      <c r="O104" s="9" t="s">
        <v>1395</v>
      </c>
      <c r="P104" s="9" t="s">
        <v>1395</v>
      </c>
      <c r="R104">
        <v>1</v>
      </c>
      <c r="S104" s="9" t="s">
        <v>1395</v>
      </c>
      <c r="T104" s="9" t="s">
        <v>1395</v>
      </c>
      <c r="U104" s="9" t="s">
        <v>1395</v>
      </c>
      <c r="V104" s="9" t="s">
        <v>654</v>
      </c>
      <c r="W104" s="9" t="s">
        <v>655</v>
      </c>
      <c r="X104" s="9" t="s">
        <v>1517</v>
      </c>
      <c r="Y104" s="9" t="s">
        <v>656</v>
      </c>
      <c r="Z104" s="9" t="s">
        <v>38</v>
      </c>
      <c r="AA104" s="1">
        <v>46208</v>
      </c>
    </row>
    <row r="105" spans="1:27" x14ac:dyDescent="0.25">
      <c r="A105" s="9" t="s">
        <v>657</v>
      </c>
      <c r="B105" s="9" t="s">
        <v>658</v>
      </c>
      <c r="C105" s="10">
        <f>_xlfn.XLOOKUP(_2026[[#This Row],[Artist]], Table3[Artist], Table3[Rating], "",)</f>
        <v>0</v>
      </c>
      <c r="D105" s="9">
        <f>_xlfn.XLOOKUP(_2026[[#This Row],[Artist]], Table3[Artist], Table3[Notes], "",)</f>
        <v>0</v>
      </c>
      <c r="E105" s="1">
        <v>46206</v>
      </c>
      <c r="F105" s="2">
        <v>0.58333333333333337</v>
      </c>
      <c r="G105" s="2">
        <v>0.66666666666666663</v>
      </c>
      <c r="H105" s="9" t="s">
        <v>547</v>
      </c>
      <c r="I105" s="9" t="s">
        <v>659</v>
      </c>
      <c r="J105" s="9" t="s">
        <v>162</v>
      </c>
      <c r="K105" s="9" t="s">
        <v>660</v>
      </c>
      <c r="L105" s="9" t="s">
        <v>1395</v>
      </c>
      <c r="M105" s="9" t="s">
        <v>432</v>
      </c>
      <c r="N105" s="9" t="s">
        <v>1395</v>
      </c>
      <c r="O105" s="9" t="s">
        <v>1395</v>
      </c>
      <c r="P105" s="9" t="s">
        <v>1395</v>
      </c>
      <c r="R105">
        <v>2</v>
      </c>
      <c r="S105" s="9" t="s">
        <v>1395</v>
      </c>
      <c r="T105" s="9" t="s">
        <v>1395</v>
      </c>
      <c r="U105" s="9" t="s">
        <v>1395</v>
      </c>
      <c r="V105" s="9" t="s">
        <v>661</v>
      </c>
      <c r="W105" s="9" t="s">
        <v>1518</v>
      </c>
      <c r="X105" s="9" t="s">
        <v>662</v>
      </c>
      <c r="Y105" s="9" t="s">
        <v>663</v>
      </c>
      <c r="Z105" s="9" t="s">
        <v>38</v>
      </c>
      <c r="AA105" s="1">
        <v>46206</v>
      </c>
    </row>
    <row r="106" spans="1:27" x14ac:dyDescent="0.25">
      <c r="A106" s="9" t="s">
        <v>1183</v>
      </c>
      <c r="B106" s="9" t="s">
        <v>1184</v>
      </c>
      <c r="C106" s="10">
        <f>_xlfn.XLOOKUP(_2026[[#This Row],[Artist]], Table3[Artist], Table3[Rating], "",)</f>
        <v>0</v>
      </c>
      <c r="D106" s="9">
        <f>_xlfn.XLOOKUP(_2026[[#This Row],[Artist]], Table3[Artist], Table3[Notes], "",)</f>
        <v>0</v>
      </c>
      <c r="E106" s="1">
        <v>46207</v>
      </c>
      <c r="F106" s="2">
        <v>0.71875</v>
      </c>
      <c r="G106" s="2">
        <v>0.75</v>
      </c>
      <c r="H106" s="9" t="s">
        <v>408</v>
      </c>
      <c r="I106" s="9" t="s">
        <v>1185</v>
      </c>
      <c r="J106" s="9" t="s">
        <v>1186</v>
      </c>
      <c r="K106" s="9" t="s">
        <v>1187</v>
      </c>
      <c r="L106" s="9" t="s">
        <v>1395</v>
      </c>
      <c r="M106" s="9" t="s">
        <v>1188</v>
      </c>
      <c r="N106" s="9" t="s">
        <v>1395</v>
      </c>
      <c r="O106" s="9" t="s">
        <v>1395</v>
      </c>
      <c r="P106" s="9" t="s">
        <v>1189</v>
      </c>
      <c r="Q106">
        <v>7</v>
      </c>
      <c r="R106">
        <v>2</v>
      </c>
      <c r="S106" s="9" t="s">
        <v>67</v>
      </c>
      <c r="T106" s="9" t="s">
        <v>38</v>
      </c>
      <c r="U106" s="9" t="s">
        <v>1395</v>
      </c>
      <c r="V106" s="9" t="s">
        <v>1190</v>
      </c>
      <c r="W106" s="9" t="s">
        <v>1704</v>
      </c>
      <c r="X106" s="9" t="s">
        <v>1191</v>
      </c>
      <c r="Y106" s="9" t="s">
        <v>1192</v>
      </c>
      <c r="Z106" s="9" t="s">
        <v>38</v>
      </c>
      <c r="AA106" s="1">
        <v>46207</v>
      </c>
    </row>
    <row r="107" spans="1:27" x14ac:dyDescent="0.25">
      <c r="A107" s="9" t="s">
        <v>1119</v>
      </c>
      <c r="B107" s="9" t="s">
        <v>1120</v>
      </c>
      <c r="C107" s="10">
        <f>_xlfn.XLOOKUP(_2026[[#This Row],[Artist]], Table3[Artist], Table3[Rating], "",)</f>
        <v>0</v>
      </c>
      <c r="D107" s="9">
        <f>_xlfn.XLOOKUP(_2026[[#This Row],[Artist]], Table3[Artist], Table3[Notes], "",)</f>
        <v>0</v>
      </c>
      <c r="E107" s="1">
        <v>46207</v>
      </c>
      <c r="F107" s="2">
        <v>0.5625</v>
      </c>
      <c r="G107" s="2">
        <v>0.59375</v>
      </c>
      <c r="H107" s="9" t="s">
        <v>1062</v>
      </c>
      <c r="I107" s="9" t="s">
        <v>1084</v>
      </c>
      <c r="J107" s="9" t="s">
        <v>1121</v>
      </c>
      <c r="K107" s="9" t="s">
        <v>1122</v>
      </c>
      <c r="L107" s="9" t="s">
        <v>1395</v>
      </c>
      <c r="M107" s="9" t="s">
        <v>432</v>
      </c>
      <c r="N107" s="9" t="s">
        <v>1395</v>
      </c>
      <c r="O107" s="9" t="s">
        <v>1395</v>
      </c>
      <c r="P107" s="9" t="s">
        <v>1395</v>
      </c>
      <c r="S107" s="9" t="s">
        <v>34</v>
      </c>
      <c r="T107" s="9" t="s">
        <v>38</v>
      </c>
      <c r="U107" s="9" t="s">
        <v>1395</v>
      </c>
      <c r="V107" s="9" t="s">
        <v>1123</v>
      </c>
      <c r="W107" s="9" t="s">
        <v>1666</v>
      </c>
      <c r="X107" s="9" t="s">
        <v>1124</v>
      </c>
      <c r="Y107" s="9" t="s">
        <v>1125</v>
      </c>
      <c r="Z107" s="9" t="s">
        <v>38</v>
      </c>
      <c r="AA107" s="1">
        <v>46207</v>
      </c>
    </row>
    <row r="108" spans="1:27" x14ac:dyDescent="0.25">
      <c r="A108" s="9" t="s">
        <v>417</v>
      </c>
      <c r="B108" s="9" t="s">
        <v>418</v>
      </c>
      <c r="C108" s="10">
        <f>_xlfn.XLOOKUP(_2026[[#This Row],[Artist]], Table3[Artist], Table3[Rating], "",)</f>
        <v>0</v>
      </c>
      <c r="D108" s="9">
        <f>_xlfn.XLOOKUP(_2026[[#This Row],[Artist]], Table3[Artist], Table3[Notes], "",)</f>
        <v>0</v>
      </c>
      <c r="E108" s="1">
        <v>46208</v>
      </c>
      <c r="F108" s="2">
        <v>8.3333333333333329E-2</v>
      </c>
      <c r="G108" s="2">
        <v>0.1875</v>
      </c>
      <c r="H108" s="9" t="s">
        <v>111</v>
      </c>
      <c r="I108" s="9" t="s">
        <v>419</v>
      </c>
      <c r="J108" s="9" t="s">
        <v>1395</v>
      </c>
      <c r="K108" s="9" t="s">
        <v>420</v>
      </c>
      <c r="L108" s="9" t="s">
        <v>421</v>
      </c>
      <c r="M108" s="9" t="s">
        <v>422</v>
      </c>
      <c r="N108" s="9" t="s">
        <v>1395</v>
      </c>
      <c r="O108" s="9" t="s">
        <v>1395</v>
      </c>
      <c r="P108" s="9" t="s">
        <v>423</v>
      </c>
      <c r="Q108">
        <v>7</v>
      </c>
      <c r="R108">
        <v>2</v>
      </c>
      <c r="S108" s="9" t="s">
        <v>55</v>
      </c>
      <c r="T108" s="9" t="s">
        <v>1395</v>
      </c>
      <c r="U108" s="9" t="s">
        <v>38</v>
      </c>
      <c r="V108" s="9" t="s">
        <v>424</v>
      </c>
      <c r="W108" s="9" t="s">
        <v>425</v>
      </c>
      <c r="X108" s="9" t="s">
        <v>426</v>
      </c>
      <c r="Y108" s="9" t="s">
        <v>427</v>
      </c>
      <c r="Z108" s="9" t="s">
        <v>38</v>
      </c>
      <c r="AA108" s="1">
        <v>46208</v>
      </c>
    </row>
    <row r="109" spans="1:27" x14ac:dyDescent="0.25">
      <c r="A109" s="9" t="s">
        <v>428</v>
      </c>
      <c r="B109" s="9" t="s">
        <v>429</v>
      </c>
      <c r="C109" s="10">
        <f>_xlfn.XLOOKUP(_2026[[#This Row],[Artist]], Table3[Artist], Table3[Rating], "",)</f>
        <v>0</v>
      </c>
      <c r="D109" s="9">
        <f>_xlfn.XLOOKUP(_2026[[#This Row],[Artist]], Table3[Artist], Table3[Notes], "",)</f>
        <v>0</v>
      </c>
      <c r="E109" s="1">
        <v>46208</v>
      </c>
      <c r="F109" s="2">
        <v>0.95833333333333337</v>
      </c>
      <c r="G109" s="2">
        <v>4.1666666666666664E-2</v>
      </c>
      <c r="H109" s="9" t="s">
        <v>111</v>
      </c>
      <c r="I109" s="9" t="s">
        <v>430</v>
      </c>
      <c r="J109" s="9" t="s">
        <v>162</v>
      </c>
      <c r="K109" s="9" t="s">
        <v>431</v>
      </c>
      <c r="L109" s="9" t="s">
        <v>1395</v>
      </c>
      <c r="M109" s="9" t="s">
        <v>432</v>
      </c>
      <c r="N109" s="9" t="s">
        <v>1395</v>
      </c>
      <c r="O109" s="9" t="s">
        <v>1395</v>
      </c>
      <c r="P109" s="9" t="s">
        <v>433</v>
      </c>
      <c r="Q109">
        <v>6</v>
      </c>
      <c r="R109">
        <v>1</v>
      </c>
      <c r="S109" s="9" t="s">
        <v>34</v>
      </c>
      <c r="T109" s="9" t="s">
        <v>1395</v>
      </c>
      <c r="U109" s="9" t="s">
        <v>1395</v>
      </c>
      <c r="V109" s="9" t="s">
        <v>434</v>
      </c>
      <c r="W109" s="9" t="s">
        <v>1477</v>
      </c>
      <c r="X109" s="9" t="s">
        <v>435</v>
      </c>
      <c r="Y109" s="9" t="s">
        <v>436</v>
      </c>
      <c r="Z109" s="9" t="s">
        <v>38</v>
      </c>
      <c r="AA109" s="1">
        <v>46209</v>
      </c>
    </row>
    <row r="110" spans="1:27" x14ac:dyDescent="0.25">
      <c r="A110" s="9" t="s">
        <v>969</v>
      </c>
      <c r="B110" s="9" t="s">
        <v>970</v>
      </c>
      <c r="C110" s="10">
        <f>_xlfn.XLOOKUP(_2026[[#This Row],[Artist]], Table3[Artist], Table3[Rating], "",)</f>
        <v>0</v>
      </c>
      <c r="D110" s="9">
        <f>_xlfn.XLOOKUP(_2026[[#This Row],[Artist]], Table3[Artist], Table3[Notes], "",)</f>
        <v>0</v>
      </c>
      <c r="E110" s="1">
        <v>46206</v>
      </c>
      <c r="F110" s="2">
        <v>0.75</v>
      </c>
      <c r="G110" s="2">
        <v>0.83333333333333337</v>
      </c>
      <c r="H110" s="9" t="s">
        <v>923</v>
      </c>
      <c r="I110" s="9" t="s">
        <v>1395</v>
      </c>
      <c r="J110" s="9" t="s">
        <v>162</v>
      </c>
      <c r="K110" s="9" t="s">
        <v>971</v>
      </c>
      <c r="L110" s="9" t="s">
        <v>1395</v>
      </c>
      <c r="M110" s="9" t="s">
        <v>432</v>
      </c>
      <c r="N110" s="9" t="s">
        <v>1395</v>
      </c>
      <c r="O110" s="9" t="s">
        <v>1395</v>
      </c>
      <c r="P110" s="9" t="s">
        <v>1395</v>
      </c>
      <c r="R110">
        <v>1</v>
      </c>
      <c r="S110" s="9" t="s">
        <v>67</v>
      </c>
      <c r="T110" s="9" t="s">
        <v>1395</v>
      </c>
      <c r="U110" s="9" t="s">
        <v>1395</v>
      </c>
      <c r="V110" s="9" t="s">
        <v>972</v>
      </c>
      <c r="W110" s="9" t="s">
        <v>973</v>
      </c>
      <c r="X110" s="9" t="s">
        <v>974</v>
      </c>
      <c r="Y110" s="9" t="s">
        <v>975</v>
      </c>
      <c r="Z110" s="9" t="s">
        <v>38</v>
      </c>
      <c r="AA110" s="1">
        <v>46206</v>
      </c>
    </row>
    <row r="111" spans="1:27" x14ac:dyDescent="0.25">
      <c r="A111" s="9" t="s">
        <v>976</v>
      </c>
      <c r="B111" s="9" t="s">
        <v>977</v>
      </c>
      <c r="C111" s="10">
        <f>_xlfn.XLOOKUP(_2026[[#This Row],[Artist]], Table3[Artist], Table3[Rating], "",)</f>
        <v>0</v>
      </c>
      <c r="D111" s="9">
        <f>_xlfn.XLOOKUP(_2026[[#This Row],[Artist]], Table3[Artist], Table3[Notes], "",)</f>
        <v>0</v>
      </c>
      <c r="E111" s="1">
        <v>46208</v>
      </c>
      <c r="F111" s="2">
        <v>0.75</v>
      </c>
      <c r="G111" s="2">
        <v>0.79166666666666663</v>
      </c>
      <c r="H111" s="9" t="s">
        <v>923</v>
      </c>
      <c r="I111" s="9" t="s">
        <v>1395</v>
      </c>
      <c r="J111" s="9" t="s">
        <v>162</v>
      </c>
      <c r="K111" s="9" t="s">
        <v>1630</v>
      </c>
      <c r="L111" s="9" t="s">
        <v>1395</v>
      </c>
      <c r="M111" s="9" t="s">
        <v>432</v>
      </c>
      <c r="N111" s="9" t="s">
        <v>1395</v>
      </c>
      <c r="O111" s="9" t="s">
        <v>1395</v>
      </c>
      <c r="P111" s="9" t="s">
        <v>1395</v>
      </c>
      <c r="R111">
        <v>1</v>
      </c>
      <c r="S111" s="9" t="s">
        <v>34</v>
      </c>
      <c r="T111" s="9" t="s">
        <v>1395</v>
      </c>
      <c r="U111" s="9" t="s">
        <v>1395</v>
      </c>
      <c r="V111" s="9" t="s">
        <v>978</v>
      </c>
      <c r="W111" s="9" t="s">
        <v>979</v>
      </c>
      <c r="X111" s="9" t="s">
        <v>1631</v>
      </c>
      <c r="Y111" s="9" t="s">
        <v>980</v>
      </c>
      <c r="Z111" s="9" t="s">
        <v>38</v>
      </c>
      <c r="AA111" s="1">
        <v>46208</v>
      </c>
    </row>
    <row r="112" spans="1:27" x14ac:dyDescent="0.25">
      <c r="A112" s="9" t="s">
        <v>847</v>
      </c>
      <c r="B112" s="9" t="s">
        <v>848</v>
      </c>
      <c r="C112" s="10">
        <f>_xlfn.XLOOKUP(_2026[[#This Row],[Artist]], Table3[Artist], Table3[Rating], "",)</f>
        <v>0</v>
      </c>
      <c r="D112" s="9">
        <f>_xlfn.XLOOKUP(_2026[[#This Row],[Artist]], Table3[Artist], Table3[Notes], "",)</f>
        <v>0</v>
      </c>
      <c r="E112" s="1">
        <v>46207</v>
      </c>
      <c r="F112" s="2">
        <v>0.64583333333333337</v>
      </c>
      <c r="G112" s="2">
        <v>0.70833333333333337</v>
      </c>
      <c r="H112" s="9" t="s">
        <v>743</v>
      </c>
      <c r="I112" s="9" t="s">
        <v>1830</v>
      </c>
      <c r="J112" s="9" t="s">
        <v>1395</v>
      </c>
      <c r="K112" s="9" t="s">
        <v>1575</v>
      </c>
      <c r="L112" s="9" t="s">
        <v>1395</v>
      </c>
      <c r="M112" s="9" t="s">
        <v>849</v>
      </c>
      <c r="N112" s="9" t="s">
        <v>1395</v>
      </c>
      <c r="O112" s="9" t="s">
        <v>1395</v>
      </c>
      <c r="P112" s="9" t="s">
        <v>1395</v>
      </c>
      <c r="R112">
        <v>1</v>
      </c>
      <c r="S112" s="9" t="s">
        <v>34</v>
      </c>
      <c r="T112" s="9" t="s">
        <v>1395</v>
      </c>
      <c r="U112" s="9" t="s">
        <v>1395</v>
      </c>
      <c r="V112" s="9" t="s">
        <v>850</v>
      </c>
      <c r="W112" s="9" t="s">
        <v>1576</v>
      </c>
      <c r="X112" s="9" t="s">
        <v>1577</v>
      </c>
      <c r="Y112" s="9" t="s">
        <v>851</v>
      </c>
      <c r="Z112" s="9" t="s">
        <v>38</v>
      </c>
      <c r="AA112" s="1">
        <v>46207</v>
      </c>
    </row>
    <row r="113" spans="1:27" x14ac:dyDescent="0.25">
      <c r="A113" s="9" t="s">
        <v>664</v>
      </c>
      <c r="B113" s="9" t="s">
        <v>665</v>
      </c>
      <c r="C113" s="10">
        <f>_xlfn.XLOOKUP(_2026[[#This Row],[Artist]], Table3[Artist], Table3[Rating], "",)</f>
        <v>0</v>
      </c>
      <c r="D113" s="9">
        <f>_xlfn.XLOOKUP(_2026[[#This Row],[Artist]], Table3[Artist], Table3[Notes], "",)</f>
        <v>0</v>
      </c>
      <c r="E113" s="1">
        <v>46208</v>
      </c>
      <c r="F113" s="2">
        <v>0.9375</v>
      </c>
      <c r="G113" s="2">
        <v>2.0833333333333332E-2</v>
      </c>
      <c r="H113" s="9" t="s">
        <v>547</v>
      </c>
      <c r="I113" s="9" t="s">
        <v>666</v>
      </c>
      <c r="J113" s="9" t="s">
        <v>458</v>
      </c>
      <c r="K113" s="9" t="s">
        <v>667</v>
      </c>
      <c r="L113" s="9" t="s">
        <v>1395</v>
      </c>
      <c r="M113" s="9" t="s">
        <v>668</v>
      </c>
      <c r="N113" s="9" t="s">
        <v>1395</v>
      </c>
      <c r="O113" s="9" t="s">
        <v>1395</v>
      </c>
      <c r="P113" s="9" t="s">
        <v>669</v>
      </c>
      <c r="Q113">
        <v>7</v>
      </c>
      <c r="S113" s="9" t="s">
        <v>67</v>
      </c>
      <c r="T113" s="9" t="s">
        <v>35</v>
      </c>
      <c r="U113" s="9" t="s">
        <v>1395</v>
      </c>
      <c r="V113" s="9" t="s">
        <v>670</v>
      </c>
      <c r="W113" s="9" t="s">
        <v>671</v>
      </c>
      <c r="X113" s="9" t="s">
        <v>672</v>
      </c>
      <c r="Y113" s="9" t="s">
        <v>673</v>
      </c>
      <c r="Z113" s="9" t="s">
        <v>38</v>
      </c>
      <c r="AA113" s="1">
        <v>46209</v>
      </c>
    </row>
    <row r="114" spans="1:27" x14ac:dyDescent="0.25">
      <c r="A114" s="9" t="s">
        <v>194</v>
      </c>
      <c r="B114" s="9" t="s">
        <v>195</v>
      </c>
      <c r="C114" s="10">
        <f>_xlfn.XLOOKUP(_2026[[#This Row],[Artist]], Table3[Artist], Table3[Rating], "",)</f>
        <v>8</v>
      </c>
      <c r="D114" s="9" t="str">
        <f>_xlfn.XLOOKUP(_2026[[#This Row],[Artist]], Table3[Artist], Table3[Notes], "",)</f>
        <v>Ik hou ook van The National</v>
      </c>
      <c r="E114" s="1">
        <v>46208</v>
      </c>
      <c r="F114" s="2">
        <v>0.77083333333333337</v>
      </c>
      <c r="G114" s="2">
        <v>0.8125</v>
      </c>
      <c r="H114" s="9" t="s">
        <v>100</v>
      </c>
      <c r="I114" s="9" t="s">
        <v>196</v>
      </c>
      <c r="J114" s="9" t="s">
        <v>62</v>
      </c>
      <c r="K114" s="9" t="s">
        <v>197</v>
      </c>
      <c r="L114" s="9" t="s">
        <v>198</v>
      </c>
      <c r="M114" s="9" t="s">
        <v>199</v>
      </c>
      <c r="N114" s="9" t="s">
        <v>1395</v>
      </c>
      <c r="O114" s="9" t="s">
        <v>1395</v>
      </c>
      <c r="P114" s="9" t="s">
        <v>200</v>
      </c>
      <c r="Q114">
        <v>8</v>
      </c>
      <c r="S114" s="9" t="s">
        <v>67</v>
      </c>
      <c r="T114" s="9" t="s">
        <v>35</v>
      </c>
      <c r="U114" s="9" t="s">
        <v>1395</v>
      </c>
      <c r="V114" s="9" t="s">
        <v>201</v>
      </c>
      <c r="W114" s="9" t="s">
        <v>1424</v>
      </c>
      <c r="X114" s="9" t="s">
        <v>1425</v>
      </c>
      <c r="Y114" s="9" t="s">
        <v>202</v>
      </c>
      <c r="Z114" s="9" t="s">
        <v>38</v>
      </c>
      <c r="AA114" s="1">
        <v>46208</v>
      </c>
    </row>
    <row r="115" spans="1:27" x14ac:dyDescent="0.25">
      <c r="A115" s="9" t="s">
        <v>1283</v>
      </c>
      <c r="B115" s="9" t="s">
        <v>1284</v>
      </c>
      <c r="C115" s="10">
        <f>_xlfn.XLOOKUP(_2026[[#This Row],[Artist]], Table3[Artist], Table3[Rating], "",)</f>
        <v>0</v>
      </c>
      <c r="D115" s="9">
        <f>_xlfn.XLOOKUP(_2026[[#This Row],[Artist]], Table3[Artist], Table3[Notes], "",)</f>
        <v>0</v>
      </c>
      <c r="E115" s="1">
        <v>46208</v>
      </c>
      <c r="F115" s="2">
        <v>8.3333333333333329E-2</v>
      </c>
      <c r="G115" s="2">
        <v>0.14583333333333334</v>
      </c>
      <c r="H115" s="9" t="s">
        <v>1843</v>
      </c>
      <c r="I115" s="9" t="s">
        <v>1285</v>
      </c>
      <c r="J115" s="9" t="s">
        <v>162</v>
      </c>
      <c r="K115" s="9" t="s">
        <v>1286</v>
      </c>
      <c r="L115" s="9" t="s">
        <v>1395</v>
      </c>
      <c r="M115" s="9" t="s">
        <v>1287</v>
      </c>
      <c r="N115" s="9" t="s">
        <v>1395</v>
      </c>
      <c r="O115" s="9" t="s">
        <v>1395</v>
      </c>
      <c r="P115" s="9" t="s">
        <v>1395</v>
      </c>
      <c r="R115">
        <v>1</v>
      </c>
      <c r="S115" s="9" t="s">
        <v>34</v>
      </c>
      <c r="T115" s="9" t="s">
        <v>1395</v>
      </c>
      <c r="U115" s="9" t="s">
        <v>1395</v>
      </c>
      <c r="V115" s="9" t="s">
        <v>1288</v>
      </c>
      <c r="W115" s="9" t="s">
        <v>1738</v>
      </c>
      <c r="X115" s="9" t="s">
        <v>1289</v>
      </c>
      <c r="Y115" s="9" t="s">
        <v>1290</v>
      </c>
      <c r="Z115" s="9" t="s">
        <v>38</v>
      </c>
      <c r="AA115" s="1">
        <v>46208</v>
      </c>
    </row>
    <row r="116" spans="1:27" x14ac:dyDescent="0.25">
      <c r="A116" s="9" t="s">
        <v>981</v>
      </c>
      <c r="B116" s="9" t="s">
        <v>982</v>
      </c>
      <c r="C116" s="10">
        <f>_xlfn.XLOOKUP(_2026[[#This Row],[Artist]], Table3[Artist], Table3[Rating], "",)</f>
        <v>0</v>
      </c>
      <c r="D116" s="9">
        <f>_xlfn.XLOOKUP(_2026[[#This Row],[Artist]], Table3[Artist], Table3[Notes], "",)</f>
        <v>0</v>
      </c>
      <c r="E116" s="1">
        <v>46206</v>
      </c>
      <c r="F116" s="2">
        <v>0.58333333333333337</v>
      </c>
      <c r="G116" s="2">
        <v>0.625</v>
      </c>
      <c r="H116" s="9" t="s">
        <v>923</v>
      </c>
      <c r="I116" s="9" t="s">
        <v>983</v>
      </c>
      <c r="J116" s="9" t="s">
        <v>337</v>
      </c>
      <c r="K116" s="9" t="s">
        <v>984</v>
      </c>
      <c r="L116" s="9" t="s">
        <v>1395</v>
      </c>
      <c r="M116" s="9" t="s">
        <v>985</v>
      </c>
      <c r="N116" s="9" t="s">
        <v>1395</v>
      </c>
      <c r="O116" s="9" t="s">
        <v>1395</v>
      </c>
      <c r="P116" s="9" t="s">
        <v>986</v>
      </c>
      <c r="Q116">
        <v>7</v>
      </c>
      <c r="S116" s="9" t="s">
        <v>34</v>
      </c>
      <c r="T116" s="9" t="s">
        <v>35</v>
      </c>
      <c r="U116" s="9" t="s">
        <v>1395</v>
      </c>
      <c r="V116" s="9" t="s">
        <v>987</v>
      </c>
      <c r="W116" s="9" t="s">
        <v>1632</v>
      </c>
      <c r="X116" s="9" t="s">
        <v>988</v>
      </c>
      <c r="Y116" s="9" t="s">
        <v>989</v>
      </c>
      <c r="Z116" s="9" t="s">
        <v>38</v>
      </c>
      <c r="AA116" s="1">
        <v>46206</v>
      </c>
    </row>
    <row r="117" spans="1:27" x14ac:dyDescent="0.25">
      <c r="A117" s="9" t="s">
        <v>446</v>
      </c>
      <c r="B117" s="9" t="s">
        <v>447</v>
      </c>
      <c r="C117" s="10">
        <f>_xlfn.XLOOKUP(_2026[[#This Row],[Artist]], Table3[Artist], Table3[Rating], "",)</f>
        <v>0</v>
      </c>
      <c r="D117" s="9">
        <f>_xlfn.XLOOKUP(_2026[[#This Row],[Artist]], Table3[Artist], Table3[Notes], "",)</f>
        <v>0</v>
      </c>
      <c r="E117" s="1">
        <v>46207</v>
      </c>
      <c r="F117" s="2">
        <v>0.59375</v>
      </c>
      <c r="G117" s="2">
        <v>0.63541666666666663</v>
      </c>
      <c r="H117" s="9" t="s">
        <v>111</v>
      </c>
      <c r="I117" s="9" t="s">
        <v>448</v>
      </c>
      <c r="J117" s="9" t="s">
        <v>449</v>
      </c>
      <c r="K117" s="9" t="s">
        <v>450</v>
      </c>
      <c r="L117" s="9" t="s">
        <v>1395</v>
      </c>
      <c r="M117" s="9" t="s">
        <v>451</v>
      </c>
      <c r="N117" s="9" t="s">
        <v>1395</v>
      </c>
      <c r="O117" s="9" t="s">
        <v>1395</v>
      </c>
      <c r="P117" s="9" t="s">
        <v>452</v>
      </c>
      <c r="Q117">
        <v>6</v>
      </c>
      <c r="R117">
        <v>4</v>
      </c>
      <c r="S117" s="9" t="s">
        <v>67</v>
      </c>
      <c r="T117" s="9" t="s">
        <v>38</v>
      </c>
      <c r="U117" s="9" t="s">
        <v>1395</v>
      </c>
      <c r="V117" s="9" t="s">
        <v>453</v>
      </c>
      <c r="W117" s="9" t="s">
        <v>1480</v>
      </c>
      <c r="X117" s="9" t="s">
        <v>1481</v>
      </c>
      <c r="Y117" s="9" t="s">
        <v>454</v>
      </c>
      <c r="Z117" s="9" t="s">
        <v>38</v>
      </c>
      <c r="AA117" s="1">
        <v>46207</v>
      </c>
    </row>
    <row r="118" spans="1:27" x14ac:dyDescent="0.25">
      <c r="A118" s="9" t="s">
        <v>455</v>
      </c>
      <c r="B118" s="9" t="s">
        <v>456</v>
      </c>
      <c r="C118" s="10">
        <f>_xlfn.XLOOKUP(_2026[[#This Row],[Artist]], Table3[Artist], Table3[Rating], "",)</f>
        <v>7</v>
      </c>
      <c r="D118" s="9" t="str">
        <f>_xlfn.XLOOKUP(_2026[[#This Row],[Artist]], Table3[Artist], Table3[Notes], "",)</f>
        <v xml:space="preserve">Voor als je zin hebt in veilige genre-getrouwe Italo disco. Melig. Een gast-optreden van Sabrina zou een +1 zijn. </v>
      </c>
      <c r="E118" s="1">
        <v>46206</v>
      </c>
      <c r="F118" s="2">
        <v>0.77083333333333337</v>
      </c>
      <c r="G118" s="2">
        <v>0.8125</v>
      </c>
      <c r="H118" s="9" t="s">
        <v>111</v>
      </c>
      <c r="I118" s="9" t="s">
        <v>457</v>
      </c>
      <c r="J118" s="9" t="s">
        <v>458</v>
      </c>
      <c r="K118" s="9" t="s">
        <v>459</v>
      </c>
      <c r="L118" s="9" t="s">
        <v>460</v>
      </c>
      <c r="M118" s="9" t="s">
        <v>461</v>
      </c>
      <c r="N118" s="9" t="s">
        <v>1395</v>
      </c>
      <c r="O118" s="9" t="s">
        <v>1395</v>
      </c>
      <c r="P118" s="9" t="s">
        <v>462</v>
      </c>
      <c r="Q118">
        <v>7</v>
      </c>
      <c r="S118" s="9" t="s">
        <v>67</v>
      </c>
      <c r="T118" s="9" t="s">
        <v>35</v>
      </c>
      <c r="U118" s="9" t="s">
        <v>1395</v>
      </c>
      <c r="V118" s="9" t="s">
        <v>463</v>
      </c>
      <c r="W118" s="9" t="s">
        <v>1482</v>
      </c>
      <c r="X118" s="9" t="s">
        <v>464</v>
      </c>
      <c r="Y118" s="9" t="s">
        <v>465</v>
      </c>
      <c r="Z118" s="9" t="s">
        <v>38</v>
      </c>
      <c r="AA118" s="1">
        <v>46206</v>
      </c>
    </row>
    <row r="119" spans="1:27" x14ac:dyDescent="0.25">
      <c r="A119" s="9" t="s">
        <v>737</v>
      </c>
      <c r="B119" s="9" t="s">
        <v>738</v>
      </c>
      <c r="C119" s="10">
        <f>_xlfn.XLOOKUP(_2026[[#This Row],[Artist]], Table3[Artist], Table3[Rating], "",)</f>
        <v>0</v>
      </c>
      <c r="D119" s="9">
        <f>_xlfn.XLOOKUP(_2026[[#This Row],[Artist]], Table3[Artist], Table3[Notes], "",)</f>
        <v>0</v>
      </c>
      <c r="E119" s="1">
        <v>46206</v>
      </c>
      <c r="F119" s="2">
        <v>0.45833333333333331</v>
      </c>
      <c r="G119" s="2">
        <v>0.5</v>
      </c>
      <c r="H119" s="9" t="s">
        <v>547</v>
      </c>
      <c r="I119" s="9" t="s">
        <v>1395</v>
      </c>
      <c r="J119" s="9" t="s">
        <v>1395</v>
      </c>
      <c r="K119" s="9" t="s">
        <v>1541</v>
      </c>
      <c r="L119" s="9" t="s">
        <v>1395</v>
      </c>
      <c r="M119" s="9" t="s">
        <v>432</v>
      </c>
      <c r="N119" s="9" t="s">
        <v>1395</v>
      </c>
      <c r="O119" s="9" t="s">
        <v>1395</v>
      </c>
      <c r="P119" s="9" t="s">
        <v>1395</v>
      </c>
      <c r="S119" s="9" t="s">
        <v>1395</v>
      </c>
      <c r="T119" s="9" t="s">
        <v>1395</v>
      </c>
      <c r="U119" s="9" t="s">
        <v>1395</v>
      </c>
      <c r="V119" s="9" t="s">
        <v>739</v>
      </c>
      <c r="W119" s="9" t="s">
        <v>740</v>
      </c>
      <c r="X119" s="9" t="s">
        <v>1542</v>
      </c>
      <c r="Y119" s="9" t="s">
        <v>1395</v>
      </c>
      <c r="Z119" s="9" t="s">
        <v>38</v>
      </c>
      <c r="AA119" s="1">
        <v>46206</v>
      </c>
    </row>
    <row r="120" spans="1:27" x14ac:dyDescent="0.25">
      <c r="A120" s="9" t="s">
        <v>466</v>
      </c>
      <c r="B120" s="9" t="s">
        <v>467</v>
      </c>
      <c r="C120" s="10">
        <f>_xlfn.XLOOKUP(_2026[[#This Row],[Artist]], Table3[Artist], Table3[Rating], "",)</f>
        <v>0</v>
      </c>
      <c r="D120" s="9">
        <f>_xlfn.XLOOKUP(_2026[[#This Row],[Artist]], Table3[Artist], Table3[Notes], "",)</f>
        <v>0</v>
      </c>
      <c r="E120" s="1">
        <v>46208</v>
      </c>
      <c r="F120" s="2">
        <v>1.0416666666666666E-2</v>
      </c>
      <c r="G120" s="2">
        <v>8.3333333333333329E-2</v>
      </c>
      <c r="H120" s="9" t="s">
        <v>111</v>
      </c>
      <c r="I120" s="9" t="s">
        <v>1817</v>
      </c>
      <c r="J120" s="9" t="s">
        <v>162</v>
      </c>
      <c r="K120" s="9" t="s">
        <v>468</v>
      </c>
      <c r="L120" s="9" t="s">
        <v>1395</v>
      </c>
      <c r="M120" s="9" t="s">
        <v>432</v>
      </c>
      <c r="N120" s="9" t="s">
        <v>1395</v>
      </c>
      <c r="O120" s="9" t="s">
        <v>1395</v>
      </c>
      <c r="P120" s="9" t="s">
        <v>469</v>
      </c>
      <c r="Q120">
        <v>6</v>
      </c>
      <c r="R120">
        <v>1</v>
      </c>
      <c r="S120" s="9" t="s">
        <v>67</v>
      </c>
      <c r="T120" s="9" t="s">
        <v>1395</v>
      </c>
      <c r="U120" s="9" t="s">
        <v>1395</v>
      </c>
      <c r="V120" s="9" t="s">
        <v>470</v>
      </c>
      <c r="W120" s="9" t="s">
        <v>471</v>
      </c>
      <c r="X120" s="9" t="s">
        <v>472</v>
      </c>
      <c r="Y120" s="9" t="s">
        <v>473</v>
      </c>
      <c r="Z120" s="9" t="s">
        <v>38</v>
      </c>
      <c r="AA120" s="1">
        <v>46208</v>
      </c>
    </row>
    <row r="121" spans="1:27" x14ac:dyDescent="0.25">
      <c r="A121" s="9" t="s">
        <v>1242</v>
      </c>
      <c r="B121" s="9" t="s">
        <v>1243</v>
      </c>
      <c r="C121" s="10">
        <f>_xlfn.XLOOKUP(_2026[[#This Row],[Artist]], Table3[Artist], Table3[Rating], "",)</f>
        <v>0</v>
      </c>
      <c r="D121" s="9">
        <f>_xlfn.XLOOKUP(_2026[[#This Row],[Artist]], Table3[Artist], Table3[Notes], "",)</f>
        <v>0</v>
      </c>
      <c r="E121" s="1">
        <v>46208</v>
      </c>
      <c r="F121" s="2">
        <v>0.4375</v>
      </c>
      <c r="G121" s="2">
        <v>0.45833333333333331</v>
      </c>
      <c r="H121" s="9" t="s">
        <v>408</v>
      </c>
      <c r="I121" s="9" t="s">
        <v>1244</v>
      </c>
      <c r="J121" s="9" t="s">
        <v>162</v>
      </c>
      <c r="K121" s="9" t="s">
        <v>1245</v>
      </c>
      <c r="L121" s="9" t="s">
        <v>1395</v>
      </c>
      <c r="M121" s="9" t="s">
        <v>1246</v>
      </c>
      <c r="N121" s="9" t="s">
        <v>1395</v>
      </c>
      <c r="O121" s="9" t="s">
        <v>1395</v>
      </c>
      <c r="P121" s="9" t="s">
        <v>1395</v>
      </c>
      <c r="R121">
        <v>4</v>
      </c>
      <c r="S121" s="9" t="s">
        <v>1395</v>
      </c>
      <c r="T121" s="9" t="s">
        <v>1395</v>
      </c>
      <c r="U121" s="9" t="s">
        <v>1395</v>
      </c>
      <c r="V121" s="9" t="s">
        <v>1247</v>
      </c>
      <c r="W121" s="9" t="s">
        <v>1723</v>
      </c>
      <c r="X121" s="9" t="s">
        <v>1248</v>
      </c>
      <c r="Y121" s="9" t="s">
        <v>1249</v>
      </c>
      <c r="Z121" s="9" t="s">
        <v>38</v>
      </c>
      <c r="AA121" s="1">
        <v>46208</v>
      </c>
    </row>
    <row r="122" spans="1:27" x14ac:dyDescent="0.25">
      <c r="A122" s="9" t="s">
        <v>474</v>
      </c>
      <c r="B122" s="9" t="s">
        <v>475</v>
      </c>
      <c r="C122" s="10">
        <f>_xlfn.XLOOKUP(_2026[[#This Row],[Artist]], Table3[Artist], Table3[Rating], "",)</f>
        <v>8</v>
      </c>
      <c r="D122" s="9" t="str">
        <f>_xlfn.XLOOKUP(_2026[[#This Row],[Artist]], Table3[Artist], Table3[Notes], "",)</f>
        <v>Ik ben wel benieuwd</v>
      </c>
      <c r="E122" s="1">
        <v>46208</v>
      </c>
      <c r="F122" s="2">
        <v>0.5625</v>
      </c>
      <c r="G122" s="2">
        <v>0.60416666666666663</v>
      </c>
      <c r="H122" s="9" t="s">
        <v>27</v>
      </c>
      <c r="I122" s="9" t="s">
        <v>476</v>
      </c>
      <c r="J122" s="9" t="s">
        <v>162</v>
      </c>
      <c r="K122" s="9" t="s">
        <v>1483</v>
      </c>
      <c r="L122" s="9" t="s">
        <v>1395</v>
      </c>
      <c r="M122" s="9" t="s">
        <v>477</v>
      </c>
      <c r="N122" s="9" t="s">
        <v>1395</v>
      </c>
      <c r="O122" s="9" t="s">
        <v>1395</v>
      </c>
      <c r="P122" s="9" t="s">
        <v>1395</v>
      </c>
      <c r="R122">
        <v>1</v>
      </c>
      <c r="S122" s="9" t="s">
        <v>34</v>
      </c>
      <c r="T122" s="9" t="s">
        <v>1395</v>
      </c>
      <c r="U122" s="9" t="s">
        <v>1395</v>
      </c>
      <c r="V122" s="9" t="s">
        <v>478</v>
      </c>
      <c r="W122" s="9" t="s">
        <v>1484</v>
      </c>
      <c r="X122" s="9" t="s">
        <v>1485</v>
      </c>
      <c r="Y122" s="9" t="s">
        <v>479</v>
      </c>
      <c r="Z122" s="9" t="s">
        <v>38</v>
      </c>
      <c r="AA122" s="1">
        <v>46208</v>
      </c>
    </row>
    <row r="123" spans="1:27" x14ac:dyDescent="0.25">
      <c r="A123" s="9" t="s">
        <v>1139</v>
      </c>
      <c r="B123" s="9" t="s">
        <v>1672</v>
      </c>
      <c r="C123" s="10">
        <f>_xlfn.XLOOKUP(_2026[[#This Row],[Artist]], Table3[Artist], Table3[Rating], "",)</f>
        <v>0</v>
      </c>
      <c r="D123" s="9">
        <f>_xlfn.XLOOKUP(_2026[[#This Row],[Artist]], Table3[Artist], Table3[Notes], "",)</f>
        <v>0</v>
      </c>
      <c r="E123" s="1">
        <v>46206</v>
      </c>
      <c r="F123" s="2">
        <v>0.95833333333333337</v>
      </c>
      <c r="G123" s="2">
        <v>0.16666666666666666</v>
      </c>
      <c r="H123" s="9" t="s">
        <v>1062</v>
      </c>
      <c r="I123" s="9" t="s">
        <v>1069</v>
      </c>
      <c r="J123" s="9" t="s">
        <v>162</v>
      </c>
      <c r="K123" s="9" t="s">
        <v>1673</v>
      </c>
      <c r="L123" s="9" t="s">
        <v>1395</v>
      </c>
      <c r="M123" s="9" t="s">
        <v>432</v>
      </c>
      <c r="N123" s="9" t="s">
        <v>1395</v>
      </c>
      <c r="O123" s="9" t="s">
        <v>1395</v>
      </c>
      <c r="P123" s="9" t="s">
        <v>1395</v>
      </c>
      <c r="S123" s="9" t="s">
        <v>1395</v>
      </c>
      <c r="T123" s="9" t="s">
        <v>1395</v>
      </c>
      <c r="U123" s="9" t="s">
        <v>1395</v>
      </c>
      <c r="V123" s="9" t="s">
        <v>1140</v>
      </c>
      <c r="W123" s="9" t="s">
        <v>1674</v>
      </c>
      <c r="X123" s="9" t="s">
        <v>1675</v>
      </c>
      <c r="Y123" s="9" t="s">
        <v>1395</v>
      </c>
      <c r="Z123" s="9" t="s">
        <v>38</v>
      </c>
      <c r="AA123" s="1">
        <v>46207</v>
      </c>
    </row>
    <row r="124" spans="1:27" x14ac:dyDescent="0.25">
      <c r="A124" s="9" t="s">
        <v>1855</v>
      </c>
      <c r="B124" s="9" t="s">
        <v>1856</v>
      </c>
      <c r="C124" s="10" t="str">
        <f>_xlfn.XLOOKUP(_2026[[#This Row],[Artist]], Table3[Artist], Table3[Rating], "",)</f>
        <v/>
      </c>
      <c r="D124" s="9" t="str">
        <f>_xlfn.XLOOKUP(_2026[[#This Row],[Artist]], Table3[Artist], Table3[Notes], "",)</f>
        <v/>
      </c>
      <c r="E124" s="1">
        <v>46208</v>
      </c>
      <c r="F124" s="2">
        <v>6.25E-2</v>
      </c>
      <c r="G124" s="2">
        <v>0.125</v>
      </c>
      <c r="H124" s="9" t="s">
        <v>111</v>
      </c>
      <c r="I124" s="9" t="s">
        <v>1857</v>
      </c>
      <c r="J124" s="9" t="s">
        <v>62</v>
      </c>
      <c r="K124" s="9" t="s">
        <v>1858</v>
      </c>
      <c r="L124" s="9" t="s">
        <v>1395</v>
      </c>
      <c r="M124" s="9" t="s">
        <v>1859</v>
      </c>
      <c r="N124" s="9" t="s">
        <v>1395</v>
      </c>
      <c r="O124" s="9" t="s">
        <v>1395</v>
      </c>
      <c r="P124" s="9" t="s">
        <v>1860</v>
      </c>
      <c r="Q124">
        <v>7</v>
      </c>
      <c r="S124" s="9" t="s">
        <v>996</v>
      </c>
      <c r="T124" s="9" t="s">
        <v>35</v>
      </c>
      <c r="U124" s="9" t="s">
        <v>1395</v>
      </c>
      <c r="V124" s="9" t="s">
        <v>1861</v>
      </c>
      <c r="W124" s="9" t="s">
        <v>1862</v>
      </c>
      <c r="X124" s="9" t="s">
        <v>1862</v>
      </c>
      <c r="Y124" s="9" t="s">
        <v>1863</v>
      </c>
      <c r="Z124" s="9" t="s">
        <v>38</v>
      </c>
      <c r="AA124" s="1">
        <v>46208</v>
      </c>
    </row>
    <row r="125" spans="1:27" x14ac:dyDescent="0.25">
      <c r="A125" s="9" t="s">
        <v>1193</v>
      </c>
      <c r="B125" s="9" t="s">
        <v>1194</v>
      </c>
      <c r="C125" s="10">
        <f>_xlfn.XLOOKUP(_2026[[#This Row],[Artist]], Table3[Artist], Table3[Rating], "",)</f>
        <v>0</v>
      </c>
      <c r="D125" s="9">
        <f>_xlfn.XLOOKUP(_2026[[#This Row],[Artist]], Table3[Artist], Table3[Notes], "",)</f>
        <v>0</v>
      </c>
      <c r="E125" s="1">
        <v>46208</v>
      </c>
      <c r="F125" s="2">
        <v>0.5625</v>
      </c>
      <c r="G125" s="2">
        <v>0.59375</v>
      </c>
      <c r="H125" s="9" t="s">
        <v>408</v>
      </c>
      <c r="I125" s="9" t="s">
        <v>1195</v>
      </c>
      <c r="J125" s="9" t="s">
        <v>29</v>
      </c>
      <c r="K125" s="9" t="s">
        <v>1196</v>
      </c>
      <c r="L125" s="9" t="s">
        <v>1395</v>
      </c>
      <c r="M125" s="9" t="s">
        <v>1197</v>
      </c>
      <c r="N125" s="9" t="s">
        <v>1395</v>
      </c>
      <c r="O125" s="9" t="s">
        <v>1395</v>
      </c>
      <c r="P125" s="9" t="s">
        <v>1395</v>
      </c>
      <c r="R125">
        <v>1</v>
      </c>
      <c r="S125" s="9" t="s">
        <v>34</v>
      </c>
      <c r="T125" s="9" t="s">
        <v>38</v>
      </c>
      <c r="U125" s="9" t="s">
        <v>1395</v>
      </c>
      <c r="V125" s="9" t="s">
        <v>1198</v>
      </c>
      <c r="W125" s="9" t="s">
        <v>1705</v>
      </c>
      <c r="X125" s="9" t="s">
        <v>1199</v>
      </c>
      <c r="Y125" s="9" t="s">
        <v>1200</v>
      </c>
      <c r="Z125" s="9" t="s">
        <v>38</v>
      </c>
      <c r="AA125" s="1">
        <v>46208</v>
      </c>
    </row>
    <row r="126" spans="1:27" x14ac:dyDescent="0.25">
      <c r="A126" s="9" t="s">
        <v>490</v>
      </c>
      <c r="B126" s="9" t="s">
        <v>491</v>
      </c>
      <c r="C126" s="10">
        <f>_xlfn.XLOOKUP(_2026[[#This Row],[Artist]], Table3[Artist], Table3[Rating], "",)</f>
        <v>7</v>
      </c>
      <c r="D126" s="9">
        <f>_xlfn.XLOOKUP(_2026[[#This Row],[Artist]], Table3[Artist], Table3[Notes], "",)</f>
        <v>0</v>
      </c>
      <c r="E126" s="1">
        <v>46206</v>
      </c>
      <c r="F126" s="2">
        <v>0.58333333333333337</v>
      </c>
      <c r="G126" s="2">
        <v>0.61111111111111116</v>
      </c>
      <c r="H126" s="9" t="s">
        <v>27</v>
      </c>
      <c r="I126" s="9" t="s">
        <v>492</v>
      </c>
      <c r="J126" s="9" t="s">
        <v>162</v>
      </c>
      <c r="K126" s="9" t="s">
        <v>493</v>
      </c>
      <c r="L126" s="9" t="s">
        <v>1395</v>
      </c>
      <c r="M126" s="9" t="s">
        <v>494</v>
      </c>
      <c r="N126" s="9" t="s">
        <v>1395</v>
      </c>
      <c r="O126" s="9" t="s">
        <v>1395</v>
      </c>
      <c r="P126" s="9" t="s">
        <v>495</v>
      </c>
      <c r="Q126">
        <v>8</v>
      </c>
      <c r="S126" s="9" t="s">
        <v>1395</v>
      </c>
      <c r="T126" s="9" t="s">
        <v>35</v>
      </c>
      <c r="U126" s="9" t="s">
        <v>1395</v>
      </c>
      <c r="V126" s="9" t="s">
        <v>496</v>
      </c>
      <c r="W126" s="9" t="s">
        <v>1486</v>
      </c>
      <c r="X126" s="9" t="s">
        <v>1487</v>
      </c>
      <c r="Y126" s="9" t="s">
        <v>497</v>
      </c>
      <c r="Z126" s="9" t="s">
        <v>38</v>
      </c>
      <c r="AA126" s="1">
        <v>46206</v>
      </c>
    </row>
    <row r="127" spans="1:27" x14ac:dyDescent="0.25">
      <c r="A127" s="9" t="s">
        <v>852</v>
      </c>
      <c r="B127" s="9" t="s">
        <v>853</v>
      </c>
      <c r="C127" s="10">
        <f>_xlfn.XLOOKUP(_2026[[#This Row],[Artist]], Table3[Artist], Table3[Rating], "",)</f>
        <v>5</v>
      </c>
      <c r="D127" s="9">
        <f>_xlfn.XLOOKUP(_2026[[#This Row],[Artist]], Table3[Artist], Table3[Notes], "",)</f>
        <v>0</v>
      </c>
      <c r="E127" s="1">
        <v>46207</v>
      </c>
      <c r="F127" s="2">
        <v>2.0833333333333332E-2</v>
      </c>
      <c r="G127" s="2">
        <v>8.3333333333333329E-2</v>
      </c>
      <c r="H127" s="9" t="s">
        <v>743</v>
      </c>
      <c r="I127" s="9" t="s">
        <v>40</v>
      </c>
      <c r="J127" s="9" t="s">
        <v>62</v>
      </c>
      <c r="K127" s="9" t="s">
        <v>854</v>
      </c>
      <c r="L127" s="9" t="s">
        <v>1395</v>
      </c>
      <c r="M127" s="9" t="s">
        <v>855</v>
      </c>
      <c r="N127" s="9" t="s">
        <v>1395</v>
      </c>
      <c r="O127" s="9" t="s">
        <v>1395</v>
      </c>
      <c r="P127" s="9" t="s">
        <v>856</v>
      </c>
      <c r="Q127">
        <v>7</v>
      </c>
      <c r="S127" s="9" t="s">
        <v>67</v>
      </c>
      <c r="T127" s="9" t="s">
        <v>38</v>
      </c>
      <c r="U127" s="9" t="s">
        <v>1395</v>
      </c>
      <c r="V127" s="9" t="s">
        <v>857</v>
      </c>
      <c r="W127" s="9" t="s">
        <v>1578</v>
      </c>
      <c r="X127" s="9" t="s">
        <v>858</v>
      </c>
      <c r="Y127" s="9" t="s">
        <v>859</v>
      </c>
      <c r="Z127" s="9" t="s">
        <v>38</v>
      </c>
      <c r="AA127" s="1">
        <v>46207</v>
      </c>
    </row>
    <row r="128" spans="1:27" x14ac:dyDescent="0.25">
      <c r="A128" s="9" t="s">
        <v>990</v>
      </c>
      <c r="B128" s="9" t="s">
        <v>991</v>
      </c>
      <c r="C128" s="10">
        <f>_xlfn.XLOOKUP(_2026[[#This Row],[Artist]], Table3[Artist], Table3[Rating], "",)</f>
        <v>0</v>
      </c>
      <c r="D128" s="9">
        <f>_xlfn.XLOOKUP(_2026[[#This Row],[Artist]], Table3[Artist], Table3[Notes], "",)</f>
        <v>0</v>
      </c>
      <c r="E128" s="1">
        <v>46206</v>
      </c>
      <c r="F128" s="2">
        <v>0.625</v>
      </c>
      <c r="G128" s="2">
        <v>0.70833333333333337</v>
      </c>
      <c r="H128" s="9" t="s">
        <v>923</v>
      </c>
      <c r="I128" s="9" t="s">
        <v>992</v>
      </c>
      <c r="J128" s="9" t="s">
        <v>62</v>
      </c>
      <c r="K128" s="9" t="s">
        <v>993</v>
      </c>
      <c r="L128" s="9" t="s">
        <v>1395</v>
      </c>
      <c r="M128" s="9" t="s">
        <v>994</v>
      </c>
      <c r="N128" s="9" t="s">
        <v>1395</v>
      </c>
      <c r="O128" s="9" t="s">
        <v>1395</v>
      </c>
      <c r="P128" s="9" t="s">
        <v>995</v>
      </c>
      <c r="Q128">
        <v>7</v>
      </c>
      <c r="S128" s="9" t="s">
        <v>996</v>
      </c>
      <c r="T128" s="9" t="s">
        <v>38</v>
      </c>
      <c r="U128" s="9" t="s">
        <v>1395</v>
      </c>
      <c r="V128" s="9" t="s">
        <v>997</v>
      </c>
      <c r="W128" s="9" t="s">
        <v>1633</v>
      </c>
      <c r="X128" s="9" t="s">
        <v>998</v>
      </c>
      <c r="Y128" s="9" t="s">
        <v>999</v>
      </c>
      <c r="Z128" s="9" t="s">
        <v>38</v>
      </c>
      <c r="AA128" s="1">
        <v>46206</v>
      </c>
    </row>
    <row r="129" spans="1:27" x14ac:dyDescent="0.25">
      <c r="A129" s="9" t="s">
        <v>1519</v>
      </c>
      <c r="B129" s="9" t="s">
        <v>674</v>
      </c>
      <c r="C129" s="10">
        <f>_xlfn.XLOOKUP(_2026[[#This Row],[Artist]], Table3[Artist], Table3[Rating], "",)</f>
        <v>0</v>
      </c>
      <c r="D129" s="9">
        <f>_xlfn.XLOOKUP(_2026[[#This Row],[Artist]], Table3[Artist], Table3[Notes], "",)</f>
        <v>0</v>
      </c>
      <c r="E129" s="1">
        <v>46207</v>
      </c>
      <c r="F129" s="2">
        <v>0.88541666666666663</v>
      </c>
      <c r="G129" s="2">
        <v>0.91666666666666663</v>
      </c>
      <c r="H129" s="9" t="s">
        <v>547</v>
      </c>
      <c r="I129" s="9" t="s">
        <v>675</v>
      </c>
      <c r="J129" s="9" t="s">
        <v>62</v>
      </c>
      <c r="K129" s="9" t="s">
        <v>1520</v>
      </c>
      <c r="L129" s="9" t="s">
        <v>1395</v>
      </c>
      <c r="M129" s="9" t="s">
        <v>676</v>
      </c>
      <c r="N129" s="9" t="s">
        <v>1395</v>
      </c>
      <c r="O129" s="9" t="s">
        <v>1395</v>
      </c>
      <c r="P129" s="9" t="s">
        <v>1521</v>
      </c>
      <c r="Q129">
        <v>8</v>
      </c>
      <c r="S129" s="9" t="s">
        <v>67</v>
      </c>
      <c r="T129" s="9" t="s">
        <v>38</v>
      </c>
      <c r="U129" s="9" t="s">
        <v>1395</v>
      </c>
      <c r="V129" s="9" t="s">
        <v>677</v>
      </c>
      <c r="W129" s="9" t="s">
        <v>1522</v>
      </c>
      <c r="X129" s="9" t="s">
        <v>1523</v>
      </c>
      <c r="Y129" s="9" t="s">
        <v>678</v>
      </c>
      <c r="Z129" s="9" t="s">
        <v>38</v>
      </c>
      <c r="AA129" s="1">
        <v>46207</v>
      </c>
    </row>
    <row r="130" spans="1:27" x14ac:dyDescent="0.25">
      <c r="A130" s="9" t="s">
        <v>1291</v>
      </c>
      <c r="B130" s="9" t="s">
        <v>1292</v>
      </c>
      <c r="C130" s="10">
        <f>_xlfn.XLOOKUP(_2026[[#This Row],[Artist]], Table3[Artist], Table3[Rating], "",)</f>
        <v>0</v>
      </c>
      <c r="D130" s="9">
        <f>_xlfn.XLOOKUP(_2026[[#This Row],[Artist]], Table3[Artist], Table3[Notes], "",)</f>
        <v>0</v>
      </c>
      <c r="E130" s="1">
        <v>46208</v>
      </c>
      <c r="F130" s="2">
        <v>0.94791666666666663</v>
      </c>
      <c r="G130" s="2">
        <v>1.0416666666666666E-2</v>
      </c>
      <c r="H130" s="9" t="s">
        <v>1843</v>
      </c>
      <c r="I130" s="9" t="s">
        <v>1844</v>
      </c>
      <c r="J130" s="9" t="s">
        <v>162</v>
      </c>
      <c r="K130" s="9" t="s">
        <v>1293</v>
      </c>
      <c r="L130" s="9" t="s">
        <v>1395</v>
      </c>
      <c r="M130" s="9" t="s">
        <v>1294</v>
      </c>
      <c r="N130" s="9" t="s">
        <v>1395</v>
      </c>
      <c r="O130" s="9" t="s">
        <v>1395</v>
      </c>
      <c r="P130" s="9" t="s">
        <v>1395</v>
      </c>
      <c r="R130">
        <v>1</v>
      </c>
      <c r="S130" s="9" t="s">
        <v>67</v>
      </c>
      <c r="T130" s="9" t="s">
        <v>1395</v>
      </c>
      <c r="U130" s="9" t="s">
        <v>1395</v>
      </c>
      <c r="V130" s="9" t="s">
        <v>1295</v>
      </c>
      <c r="W130" s="9" t="s">
        <v>1296</v>
      </c>
      <c r="X130" s="9" t="s">
        <v>1297</v>
      </c>
      <c r="Y130" s="9" t="s">
        <v>1298</v>
      </c>
      <c r="Z130" s="9" t="s">
        <v>38</v>
      </c>
      <c r="AA130" s="1">
        <v>46209</v>
      </c>
    </row>
    <row r="131" spans="1:27" x14ac:dyDescent="0.25">
      <c r="A131" s="9" t="s">
        <v>1000</v>
      </c>
      <c r="B131" s="9" t="s">
        <v>1001</v>
      </c>
      <c r="C131" s="10">
        <f>_xlfn.XLOOKUP(_2026[[#This Row],[Artist]], Table3[Artist], Table3[Rating], "",)</f>
        <v>0</v>
      </c>
      <c r="D131" s="9">
        <f>_xlfn.XLOOKUP(_2026[[#This Row],[Artist]], Table3[Artist], Table3[Notes], "",)</f>
        <v>0</v>
      </c>
      <c r="E131" s="1">
        <v>46206</v>
      </c>
      <c r="F131" s="2">
        <v>0.875</v>
      </c>
      <c r="G131" s="2">
        <v>0.95833333333333337</v>
      </c>
      <c r="H131" s="9" t="s">
        <v>923</v>
      </c>
      <c r="I131" s="9" t="s">
        <v>1395</v>
      </c>
      <c r="J131" s="9" t="s">
        <v>281</v>
      </c>
      <c r="K131" s="9" t="s">
        <v>1002</v>
      </c>
      <c r="L131" s="9" t="s">
        <v>1395</v>
      </c>
      <c r="M131" s="9" t="s">
        <v>432</v>
      </c>
      <c r="N131" s="9" t="s">
        <v>1395</v>
      </c>
      <c r="O131" s="9" t="s">
        <v>1395</v>
      </c>
      <c r="P131" s="9" t="s">
        <v>1395</v>
      </c>
      <c r="R131">
        <v>1</v>
      </c>
      <c r="S131" s="9" t="s">
        <v>1395</v>
      </c>
      <c r="T131" s="9" t="s">
        <v>1395</v>
      </c>
      <c r="U131" s="9" t="s">
        <v>1395</v>
      </c>
      <c r="V131" s="9" t="s">
        <v>1003</v>
      </c>
      <c r="W131" s="9" t="s">
        <v>1634</v>
      </c>
      <c r="X131" s="9" t="s">
        <v>1004</v>
      </c>
      <c r="Y131" s="9" t="s">
        <v>1005</v>
      </c>
      <c r="Z131" s="9" t="s">
        <v>38</v>
      </c>
      <c r="AA131" s="1">
        <v>46206</v>
      </c>
    </row>
    <row r="132" spans="1:27" x14ac:dyDescent="0.25">
      <c r="A132" s="9" t="s">
        <v>203</v>
      </c>
      <c r="B132" s="9" t="s">
        <v>204</v>
      </c>
      <c r="C132" s="10">
        <f>_xlfn.XLOOKUP(_2026[[#This Row],[Artist]], Table3[Artist], Table3[Rating], "",)</f>
        <v>7</v>
      </c>
      <c r="D132" s="9" t="str">
        <f>_xlfn.XLOOKUP(_2026[[#This Row],[Artist]], Table3[Artist], Table3[Notes], "",)</f>
        <v>De verplichte Franse electro-pop zangeres. Deze maakt wel heel lichtgewicht muziek.</v>
      </c>
      <c r="E132" s="1">
        <v>46207</v>
      </c>
      <c r="F132" s="2">
        <v>0.76041666666666663</v>
      </c>
      <c r="G132" s="2">
        <v>0.80208333333333337</v>
      </c>
      <c r="H132" s="9" t="s">
        <v>100</v>
      </c>
      <c r="I132" s="9" t="s">
        <v>205</v>
      </c>
      <c r="J132" s="9" t="s">
        <v>143</v>
      </c>
      <c r="K132" s="9" t="s">
        <v>206</v>
      </c>
      <c r="L132" s="9" t="s">
        <v>207</v>
      </c>
      <c r="M132" s="9" t="s">
        <v>208</v>
      </c>
      <c r="N132" s="9" t="s">
        <v>1395</v>
      </c>
      <c r="O132" s="9" t="s">
        <v>1395</v>
      </c>
      <c r="P132" s="9" t="s">
        <v>209</v>
      </c>
      <c r="Q132">
        <v>7</v>
      </c>
      <c r="S132" s="9" t="s">
        <v>34</v>
      </c>
      <c r="T132" s="9" t="s">
        <v>35</v>
      </c>
      <c r="U132" s="9" t="s">
        <v>1395</v>
      </c>
      <c r="V132" s="9" t="s">
        <v>210</v>
      </c>
      <c r="W132" s="9" t="s">
        <v>1426</v>
      </c>
      <c r="X132" s="9" t="s">
        <v>1427</v>
      </c>
      <c r="Y132" s="9" t="s">
        <v>211</v>
      </c>
      <c r="Z132" s="9" t="s">
        <v>38</v>
      </c>
      <c r="AA132" s="1">
        <v>46207</v>
      </c>
    </row>
    <row r="133" spans="1:27" x14ac:dyDescent="0.25">
      <c r="A133" s="9" t="s">
        <v>860</v>
      </c>
      <c r="B133" s="9" t="s">
        <v>861</v>
      </c>
      <c r="C133" s="10">
        <f>_xlfn.XLOOKUP(_2026[[#This Row],[Artist]], Table3[Artist], Table3[Rating], "",)</f>
        <v>0</v>
      </c>
      <c r="D133" s="9">
        <f>_xlfn.XLOOKUP(_2026[[#This Row],[Artist]], Table3[Artist], Table3[Notes], "",)</f>
        <v>0</v>
      </c>
      <c r="E133" s="1">
        <v>46206</v>
      </c>
      <c r="F133" s="2">
        <v>0.70833333333333337</v>
      </c>
      <c r="G133" s="2">
        <v>0.77083333333333337</v>
      </c>
      <c r="H133" s="9" t="s">
        <v>743</v>
      </c>
      <c r="I133" s="9" t="s">
        <v>1831</v>
      </c>
      <c r="J133" s="9" t="s">
        <v>162</v>
      </c>
      <c r="K133" s="9" t="s">
        <v>1579</v>
      </c>
      <c r="L133" s="9" t="s">
        <v>1395</v>
      </c>
      <c r="M133" s="9" t="s">
        <v>432</v>
      </c>
      <c r="N133" s="9" t="s">
        <v>1395</v>
      </c>
      <c r="O133" s="9" t="s">
        <v>1395</v>
      </c>
      <c r="P133" s="9" t="s">
        <v>1395</v>
      </c>
      <c r="S133" s="9" t="s">
        <v>1395</v>
      </c>
      <c r="T133" s="9" t="s">
        <v>38</v>
      </c>
      <c r="U133" s="9" t="s">
        <v>1395</v>
      </c>
      <c r="V133" s="9" t="s">
        <v>862</v>
      </c>
      <c r="W133" s="9" t="s">
        <v>1580</v>
      </c>
      <c r="X133" s="9" t="s">
        <v>1581</v>
      </c>
      <c r="Y133" s="9" t="s">
        <v>863</v>
      </c>
      <c r="Z133" s="9" t="s">
        <v>38</v>
      </c>
      <c r="AA133" s="1">
        <v>46206</v>
      </c>
    </row>
    <row r="134" spans="1:27" x14ac:dyDescent="0.25">
      <c r="A134" s="9" t="s">
        <v>1250</v>
      </c>
      <c r="B134" s="9" t="s">
        <v>1251</v>
      </c>
      <c r="C134" s="10">
        <f>_xlfn.XLOOKUP(_2026[[#This Row],[Artist]], Table3[Artist], Table3[Rating], "",)</f>
        <v>0</v>
      </c>
      <c r="D134" s="9">
        <f>_xlfn.XLOOKUP(_2026[[#This Row],[Artist]], Table3[Artist], Table3[Notes], "",)</f>
        <v>0</v>
      </c>
      <c r="E134" s="1">
        <v>46206</v>
      </c>
      <c r="F134" s="2">
        <v>0.88541666666666663</v>
      </c>
      <c r="G134" s="2">
        <v>0.11458333333333333</v>
      </c>
      <c r="H134" s="9" t="s">
        <v>408</v>
      </c>
      <c r="I134" s="9" t="s">
        <v>1395</v>
      </c>
      <c r="J134" s="9" t="s">
        <v>162</v>
      </c>
      <c r="K134" s="9" t="s">
        <v>1724</v>
      </c>
      <c r="L134" s="9" t="s">
        <v>1395</v>
      </c>
      <c r="M134" s="9" t="s">
        <v>432</v>
      </c>
      <c r="N134" s="9" t="s">
        <v>1395</v>
      </c>
      <c r="O134" s="9" t="s">
        <v>1395</v>
      </c>
      <c r="P134" s="9" t="s">
        <v>1395</v>
      </c>
      <c r="S134" s="9" t="s">
        <v>1395</v>
      </c>
      <c r="T134" s="9" t="s">
        <v>1395</v>
      </c>
      <c r="U134" s="9" t="s">
        <v>1395</v>
      </c>
      <c r="V134" s="9" t="s">
        <v>1252</v>
      </c>
      <c r="W134" s="9" t="s">
        <v>1725</v>
      </c>
      <c r="X134" s="9" t="s">
        <v>1726</v>
      </c>
      <c r="Y134" s="9" t="s">
        <v>1253</v>
      </c>
      <c r="Z134" s="9" t="s">
        <v>38</v>
      </c>
      <c r="AA134" s="1">
        <v>46207</v>
      </c>
    </row>
    <row r="135" spans="1:27" x14ac:dyDescent="0.25">
      <c r="A135" s="9" t="s">
        <v>1006</v>
      </c>
      <c r="B135" s="9" t="s">
        <v>1007</v>
      </c>
      <c r="C135" s="10">
        <f>_xlfn.XLOOKUP(_2026[[#This Row],[Artist]], Table3[Artist], Table3[Rating], "",)</f>
        <v>0</v>
      </c>
      <c r="D135" s="9">
        <f>_xlfn.XLOOKUP(_2026[[#This Row],[Artist]], Table3[Artist], Table3[Notes], "",)</f>
        <v>0</v>
      </c>
      <c r="E135" s="1">
        <v>46207</v>
      </c>
      <c r="F135" s="2">
        <v>0.75</v>
      </c>
      <c r="G135" s="2">
        <v>0.79166666666666663</v>
      </c>
      <c r="H135" s="9" t="s">
        <v>923</v>
      </c>
      <c r="I135" s="9" t="s">
        <v>1008</v>
      </c>
      <c r="J135" s="9" t="s">
        <v>162</v>
      </c>
      <c r="K135" s="9" t="s">
        <v>1009</v>
      </c>
      <c r="L135" s="9" t="s">
        <v>1395</v>
      </c>
      <c r="M135" s="9" t="s">
        <v>1010</v>
      </c>
      <c r="N135" s="9" t="s">
        <v>1395</v>
      </c>
      <c r="O135" s="9" t="s">
        <v>1395</v>
      </c>
      <c r="P135" s="9" t="s">
        <v>1011</v>
      </c>
      <c r="Q135">
        <v>7</v>
      </c>
      <c r="S135" s="9" t="s">
        <v>67</v>
      </c>
      <c r="T135" s="9" t="s">
        <v>35</v>
      </c>
      <c r="U135" s="9" t="s">
        <v>1395</v>
      </c>
      <c r="V135" s="9" t="s">
        <v>1012</v>
      </c>
      <c r="W135" s="9" t="s">
        <v>1013</v>
      </c>
      <c r="X135" s="9" t="s">
        <v>1635</v>
      </c>
      <c r="Y135" s="9" t="s">
        <v>1014</v>
      </c>
      <c r="Z135" s="9" t="s">
        <v>38</v>
      </c>
      <c r="AA135" s="1">
        <v>46207</v>
      </c>
    </row>
    <row r="136" spans="1:27" x14ac:dyDescent="0.25">
      <c r="A136" s="9" t="s">
        <v>212</v>
      </c>
      <c r="B136" s="9" t="s">
        <v>213</v>
      </c>
      <c r="C136" s="10">
        <f>_xlfn.XLOOKUP(_2026[[#This Row],[Artist]], Table3[Artist], Table3[Rating], "",)</f>
        <v>6</v>
      </c>
      <c r="D136" s="9" t="str">
        <f>_xlfn.XLOOKUP(_2026[[#This Row],[Artist]], Table3[Artist], Table3[Notes], "",)</f>
        <v>Alweer? Ben vorige keer weggelopen na 10 minuten.</v>
      </c>
      <c r="E136" s="1">
        <v>46208</v>
      </c>
      <c r="F136" s="2">
        <v>0.85416666666666663</v>
      </c>
      <c r="G136" s="2">
        <v>0.89583333333333337</v>
      </c>
      <c r="H136" s="9" t="s">
        <v>100</v>
      </c>
      <c r="I136" s="9" t="s">
        <v>214</v>
      </c>
      <c r="J136" s="9" t="s">
        <v>29</v>
      </c>
      <c r="K136" s="9" t="s">
        <v>215</v>
      </c>
      <c r="L136" s="9" t="s">
        <v>216</v>
      </c>
      <c r="M136" s="9" t="s">
        <v>217</v>
      </c>
      <c r="N136" s="9" t="s">
        <v>1395</v>
      </c>
      <c r="O136" s="9" t="s">
        <v>1395</v>
      </c>
      <c r="P136" s="9" t="s">
        <v>218</v>
      </c>
      <c r="Q136">
        <v>8</v>
      </c>
      <c r="R136">
        <v>2</v>
      </c>
      <c r="S136" s="9" t="s">
        <v>67</v>
      </c>
      <c r="T136" s="9" t="s">
        <v>35</v>
      </c>
      <c r="U136" s="9" t="s">
        <v>1395</v>
      </c>
      <c r="V136" s="9" t="s">
        <v>219</v>
      </c>
      <c r="W136" s="9" t="s">
        <v>1428</v>
      </c>
      <c r="X136" s="9" t="s">
        <v>1429</v>
      </c>
      <c r="Y136" s="9" t="s">
        <v>220</v>
      </c>
      <c r="Z136" s="9" t="s">
        <v>38</v>
      </c>
      <c r="AA136" s="1">
        <v>46208</v>
      </c>
    </row>
    <row r="137" spans="1:27" x14ac:dyDescent="0.25">
      <c r="A137" s="9" t="s">
        <v>679</v>
      </c>
      <c r="B137" s="9" t="s">
        <v>680</v>
      </c>
      <c r="C137" s="10">
        <f>_xlfn.XLOOKUP(_2026[[#This Row],[Artist]], Table3[Artist], Table3[Rating], "",)</f>
        <v>0</v>
      </c>
      <c r="D137" s="9">
        <f>_xlfn.XLOOKUP(_2026[[#This Row],[Artist]], Table3[Artist], Table3[Notes], "",)</f>
        <v>0</v>
      </c>
      <c r="E137" s="1">
        <v>46208</v>
      </c>
      <c r="F137" s="2">
        <v>0.51041666666666663</v>
      </c>
      <c r="G137" s="2">
        <v>0.59375</v>
      </c>
      <c r="H137" s="9" t="s">
        <v>547</v>
      </c>
      <c r="I137" s="9" t="s">
        <v>1395</v>
      </c>
      <c r="J137" s="9" t="s">
        <v>162</v>
      </c>
      <c r="K137" s="9" t="s">
        <v>1524</v>
      </c>
      <c r="L137" s="9" t="s">
        <v>1395</v>
      </c>
      <c r="M137" s="9" t="s">
        <v>681</v>
      </c>
      <c r="N137" s="9" t="s">
        <v>1395</v>
      </c>
      <c r="O137" s="9" t="s">
        <v>1395</v>
      </c>
      <c r="P137" s="9" t="s">
        <v>1395</v>
      </c>
      <c r="S137" s="9" t="s">
        <v>575</v>
      </c>
      <c r="T137" s="9" t="s">
        <v>1395</v>
      </c>
      <c r="U137" s="9" t="s">
        <v>1395</v>
      </c>
      <c r="V137" s="9" t="s">
        <v>682</v>
      </c>
      <c r="W137" s="9" t="s">
        <v>1525</v>
      </c>
      <c r="X137" s="9" t="s">
        <v>1526</v>
      </c>
      <c r="Y137" s="9" t="s">
        <v>683</v>
      </c>
      <c r="Z137" s="9" t="s">
        <v>35</v>
      </c>
      <c r="AA137" s="1">
        <v>46208</v>
      </c>
    </row>
    <row r="138" spans="1:27" x14ac:dyDescent="0.25">
      <c r="A138" s="9" t="s">
        <v>498</v>
      </c>
      <c r="B138" s="9" t="s">
        <v>499</v>
      </c>
      <c r="C138" s="10">
        <f>_xlfn.XLOOKUP(_2026[[#This Row],[Artist]], Table3[Artist], Table3[Rating], "",)</f>
        <v>0</v>
      </c>
      <c r="D138" s="9">
        <f>_xlfn.XLOOKUP(_2026[[#This Row],[Artist]], Table3[Artist], Table3[Notes], "",)</f>
        <v>0</v>
      </c>
      <c r="E138" s="1">
        <v>46208</v>
      </c>
      <c r="F138" s="2">
        <v>0.85416666666666663</v>
      </c>
      <c r="G138" s="2">
        <v>0.88541666666666663</v>
      </c>
      <c r="H138" s="9" t="s">
        <v>111</v>
      </c>
      <c r="I138" s="9" t="s">
        <v>500</v>
      </c>
      <c r="J138" s="9" t="s">
        <v>29</v>
      </c>
      <c r="K138" s="9" t="s">
        <v>501</v>
      </c>
      <c r="L138" s="9" t="s">
        <v>1395</v>
      </c>
      <c r="M138" s="9" t="s">
        <v>502</v>
      </c>
      <c r="N138" s="9" t="s">
        <v>1395</v>
      </c>
      <c r="O138" s="9" t="s">
        <v>1395</v>
      </c>
      <c r="P138" s="9" t="s">
        <v>503</v>
      </c>
      <c r="Q138">
        <v>6</v>
      </c>
      <c r="R138">
        <v>5</v>
      </c>
      <c r="S138" s="9" t="s">
        <v>34</v>
      </c>
      <c r="T138" s="9" t="s">
        <v>35</v>
      </c>
      <c r="U138" s="9" t="s">
        <v>1395</v>
      </c>
      <c r="V138" s="9" t="s">
        <v>504</v>
      </c>
      <c r="W138" s="9" t="s">
        <v>1488</v>
      </c>
      <c r="X138" s="9" t="s">
        <v>505</v>
      </c>
      <c r="Y138" s="9" t="s">
        <v>506</v>
      </c>
      <c r="Z138" s="9" t="s">
        <v>38</v>
      </c>
      <c r="AA138" s="1">
        <v>46208</v>
      </c>
    </row>
    <row r="139" spans="1:27" x14ac:dyDescent="0.25">
      <c r="A139" s="9" t="s">
        <v>507</v>
      </c>
      <c r="B139" s="9" t="s">
        <v>508</v>
      </c>
      <c r="C139" s="10">
        <f>_xlfn.XLOOKUP(_2026[[#This Row],[Artist]], Table3[Artist], Table3[Rating], "",)</f>
        <v>8</v>
      </c>
      <c r="D139" s="9" t="str">
        <f>_xlfn.XLOOKUP(_2026[[#This Row],[Artist]], Table3[Artist], Table3[Notes], "",)</f>
        <v>Ik had ze al door Shazam getrokken toen ik het hoorde op The White Lotus soundtrack.</v>
      </c>
      <c r="E139" s="1">
        <v>46206</v>
      </c>
      <c r="F139" s="2">
        <v>0.61458333333333337</v>
      </c>
      <c r="G139" s="2">
        <v>0.65625</v>
      </c>
      <c r="H139" s="9" t="s">
        <v>100</v>
      </c>
      <c r="I139" s="9" t="s">
        <v>509</v>
      </c>
      <c r="J139" s="9" t="s">
        <v>510</v>
      </c>
      <c r="K139" s="9" t="s">
        <v>511</v>
      </c>
      <c r="L139" s="9" t="s">
        <v>1395</v>
      </c>
      <c r="M139" s="9" t="s">
        <v>512</v>
      </c>
      <c r="N139" s="9" t="s">
        <v>1395</v>
      </c>
      <c r="O139" s="9" t="s">
        <v>1395</v>
      </c>
      <c r="P139" s="9" t="s">
        <v>513</v>
      </c>
      <c r="Q139">
        <v>7</v>
      </c>
      <c r="R139">
        <v>6</v>
      </c>
      <c r="S139" s="9" t="s">
        <v>55</v>
      </c>
      <c r="T139" s="9" t="s">
        <v>38</v>
      </c>
      <c r="U139" s="9" t="s">
        <v>1395</v>
      </c>
      <c r="V139" s="9" t="s">
        <v>514</v>
      </c>
      <c r="W139" s="9" t="s">
        <v>1489</v>
      </c>
      <c r="X139" s="9" t="s">
        <v>515</v>
      </c>
      <c r="Y139" s="9" t="s">
        <v>516</v>
      </c>
      <c r="Z139" s="9" t="s">
        <v>38</v>
      </c>
      <c r="AA139" s="1">
        <v>46206</v>
      </c>
    </row>
    <row r="140" spans="1:27" x14ac:dyDescent="0.25">
      <c r="A140" s="9" t="s">
        <v>684</v>
      </c>
      <c r="B140" s="9" t="s">
        <v>685</v>
      </c>
      <c r="C140" s="10">
        <f>_xlfn.XLOOKUP(_2026[[#This Row],[Artist]], Table3[Artist], Table3[Rating], "",)</f>
        <v>0</v>
      </c>
      <c r="D140" s="9">
        <f>_xlfn.XLOOKUP(_2026[[#This Row],[Artist]], Table3[Artist], Table3[Notes], "",)</f>
        <v>0</v>
      </c>
      <c r="E140" s="1">
        <v>46207</v>
      </c>
      <c r="F140" s="2">
        <v>0.91666666666666663</v>
      </c>
      <c r="G140" s="2">
        <v>2.0833333333333332E-2</v>
      </c>
      <c r="H140" s="9" t="s">
        <v>547</v>
      </c>
      <c r="I140" s="9" t="s">
        <v>214</v>
      </c>
      <c r="J140" s="9" t="s">
        <v>29</v>
      </c>
      <c r="K140" s="9" t="s">
        <v>686</v>
      </c>
      <c r="L140" s="9" t="s">
        <v>1395</v>
      </c>
      <c r="M140" s="9" t="s">
        <v>687</v>
      </c>
      <c r="N140" s="9" t="s">
        <v>1395</v>
      </c>
      <c r="O140" s="9" t="s">
        <v>1395</v>
      </c>
      <c r="P140" s="9" t="s">
        <v>688</v>
      </c>
      <c r="Q140">
        <v>7</v>
      </c>
      <c r="S140" s="9" t="s">
        <v>67</v>
      </c>
      <c r="T140" s="9" t="s">
        <v>35</v>
      </c>
      <c r="U140" s="9" t="s">
        <v>1395</v>
      </c>
      <c r="V140" s="9" t="s">
        <v>689</v>
      </c>
      <c r="W140" s="9" t="s">
        <v>1527</v>
      </c>
      <c r="X140" s="9" t="s">
        <v>1528</v>
      </c>
      <c r="Y140" s="9" t="s">
        <v>690</v>
      </c>
      <c r="Z140" s="9" t="s">
        <v>38</v>
      </c>
      <c r="AA140" s="1">
        <v>46208</v>
      </c>
    </row>
    <row r="141" spans="1:27" x14ac:dyDescent="0.25">
      <c r="A141" s="9" t="s">
        <v>517</v>
      </c>
      <c r="B141" s="9" t="s">
        <v>518</v>
      </c>
      <c r="C141" s="10">
        <f>_xlfn.XLOOKUP(_2026[[#This Row],[Artist]], Table3[Artist], Table3[Rating], "",)</f>
        <v>8</v>
      </c>
      <c r="D141" s="9" t="str">
        <f>_xlfn.XLOOKUP(_2026[[#This Row],[Artist]], Table3[Artist], Table3[Notes], "",)</f>
        <v>Ik moet de docu nog kijken. Classic electroclash.</v>
      </c>
      <c r="E141" s="1">
        <v>46206</v>
      </c>
      <c r="F141" s="2">
        <v>0.6875</v>
      </c>
      <c r="G141" s="2">
        <v>0.72916666666666663</v>
      </c>
      <c r="H141" s="9" t="s">
        <v>100</v>
      </c>
      <c r="I141" s="9" t="s">
        <v>519</v>
      </c>
      <c r="J141" s="9" t="s">
        <v>320</v>
      </c>
      <c r="K141" s="9" t="s">
        <v>520</v>
      </c>
      <c r="L141" s="9" t="s">
        <v>1395</v>
      </c>
      <c r="M141" s="9" t="s">
        <v>521</v>
      </c>
      <c r="N141" s="9" t="s">
        <v>1395</v>
      </c>
      <c r="O141" s="9" t="s">
        <v>1395</v>
      </c>
      <c r="P141" s="9" t="s">
        <v>522</v>
      </c>
      <c r="Q141">
        <v>8</v>
      </c>
      <c r="S141" s="9" t="s">
        <v>34</v>
      </c>
      <c r="T141" s="9" t="s">
        <v>35</v>
      </c>
      <c r="U141" s="9" t="s">
        <v>1395</v>
      </c>
      <c r="V141" s="9" t="s">
        <v>523</v>
      </c>
      <c r="W141" s="9" t="s">
        <v>524</v>
      </c>
      <c r="X141" s="9" t="s">
        <v>1490</v>
      </c>
      <c r="Y141" s="9" t="s">
        <v>525</v>
      </c>
      <c r="Z141" s="9" t="s">
        <v>38</v>
      </c>
      <c r="AA141" s="1">
        <v>46206</v>
      </c>
    </row>
    <row r="142" spans="1:27" x14ac:dyDescent="0.25">
      <c r="A142" s="9" t="s">
        <v>1015</v>
      </c>
      <c r="B142" s="9" t="s">
        <v>1016</v>
      </c>
      <c r="C142" s="10">
        <f>_xlfn.XLOOKUP(_2026[[#This Row],[Artist]], Table3[Artist], Table3[Rating], "",)</f>
        <v>0</v>
      </c>
      <c r="D142" s="9">
        <f>_xlfn.XLOOKUP(_2026[[#This Row],[Artist]], Table3[Artist], Table3[Notes], "",)</f>
        <v>0</v>
      </c>
      <c r="E142" s="1">
        <v>46208</v>
      </c>
      <c r="F142" s="2">
        <v>0.58333333333333337</v>
      </c>
      <c r="G142" s="2">
        <v>0.625</v>
      </c>
      <c r="H142" s="9" t="s">
        <v>923</v>
      </c>
      <c r="I142" s="9" t="s">
        <v>1840</v>
      </c>
      <c r="J142" s="9" t="s">
        <v>1017</v>
      </c>
      <c r="K142" s="9" t="s">
        <v>1018</v>
      </c>
      <c r="L142" s="9" t="s">
        <v>1395</v>
      </c>
      <c r="M142" s="9" t="s">
        <v>1019</v>
      </c>
      <c r="N142" s="9" t="s">
        <v>1395</v>
      </c>
      <c r="O142" s="9" t="s">
        <v>1395</v>
      </c>
      <c r="P142" s="9" t="s">
        <v>1395</v>
      </c>
      <c r="S142" s="9" t="s">
        <v>67</v>
      </c>
      <c r="T142" s="9" t="s">
        <v>1395</v>
      </c>
      <c r="U142" s="9" t="s">
        <v>1395</v>
      </c>
      <c r="V142" s="9" t="s">
        <v>1020</v>
      </c>
      <c r="W142" s="9" t="s">
        <v>1021</v>
      </c>
      <c r="X142" s="9" t="s">
        <v>1022</v>
      </c>
      <c r="Y142" s="9" t="s">
        <v>1023</v>
      </c>
      <c r="Z142" s="9" t="s">
        <v>38</v>
      </c>
      <c r="AA142" s="1">
        <v>46208</v>
      </c>
    </row>
    <row r="143" spans="1:27" x14ac:dyDescent="0.25">
      <c r="A143" s="9" t="s">
        <v>1299</v>
      </c>
      <c r="B143" s="9" t="s">
        <v>1300</v>
      </c>
      <c r="C143" s="10">
        <f>_xlfn.XLOOKUP(_2026[[#This Row],[Artist]], Table3[Artist], Table3[Rating], "",)</f>
        <v>0</v>
      </c>
      <c r="D143" s="9">
        <f>_xlfn.XLOOKUP(_2026[[#This Row],[Artist]], Table3[Artist], Table3[Notes], "",)</f>
        <v>0</v>
      </c>
      <c r="E143" s="1">
        <v>46206</v>
      </c>
      <c r="F143" s="2">
        <v>0.91666666666666663</v>
      </c>
      <c r="G143" s="2">
        <v>0.94791666666666663</v>
      </c>
      <c r="H143" s="9" t="s">
        <v>1843</v>
      </c>
      <c r="I143" s="9" t="s">
        <v>1301</v>
      </c>
      <c r="J143" s="9" t="s">
        <v>29</v>
      </c>
      <c r="K143" s="9" t="s">
        <v>1302</v>
      </c>
      <c r="L143" s="9" t="s">
        <v>1395</v>
      </c>
      <c r="M143" s="9" t="s">
        <v>1303</v>
      </c>
      <c r="N143" s="9" t="s">
        <v>1395</v>
      </c>
      <c r="O143" s="9" t="s">
        <v>1395</v>
      </c>
      <c r="P143" s="9" t="s">
        <v>1395</v>
      </c>
      <c r="R143">
        <v>1</v>
      </c>
      <c r="S143" s="9" t="s">
        <v>34</v>
      </c>
      <c r="T143" s="9" t="s">
        <v>1395</v>
      </c>
      <c r="U143" s="9" t="s">
        <v>1395</v>
      </c>
      <c r="V143" s="9" t="s">
        <v>1304</v>
      </c>
      <c r="W143" s="9" t="s">
        <v>1305</v>
      </c>
      <c r="X143" s="9" t="s">
        <v>1306</v>
      </c>
      <c r="Y143" s="9" t="s">
        <v>1307</v>
      </c>
      <c r="Z143" s="9" t="s">
        <v>38</v>
      </c>
      <c r="AA143" s="1">
        <v>46206</v>
      </c>
    </row>
    <row r="144" spans="1:27" x14ac:dyDescent="0.25">
      <c r="A144" s="9" t="s">
        <v>1369</v>
      </c>
      <c r="B144" s="9" t="s">
        <v>1370</v>
      </c>
      <c r="C144" s="10">
        <f>_xlfn.XLOOKUP(_2026[[#This Row],[Artist]], Table3[Artist], Table3[Rating], "",)</f>
        <v>0</v>
      </c>
      <c r="D144" s="9">
        <f>_xlfn.XLOOKUP(_2026[[#This Row],[Artist]], Table3[Artist], Table3[Notes], "",)</f>
        <v>0</v>
      </c>
      <c r="E144" s="1">
        <v>46208</v>
      </c>
      <c r="F144" s="2">
        <v>0.94791666666666663</v>
      </c>
      <c r="G144" s="2">
        <v>8.3333333333333329E-2</v>
      </c>
      <c r="H144" s="9" t="s">
        <v>100</v>
      </c>
      <c r="I144" s="9" t="s">
        <v>1366</v>
      </c>
      <c r="J144" s="9" t="s">
        <v>1395</v>
      </c>
      <c r="K144" s="9" t="s">
        <v>1762</v>
      </c>
      <c r="L144" s="9" t="s">
        <v>1395</v>
      </c>
      <c r="M144" s="9" t="s">
        <v>432</v>
      </c>
      <c r="N144" s="9" t="s">
        <v>1395</v>
      </c>
      <c r="O144" s="9" t="s">
        <v>1395</v>
      </c>
      <c r="P144" s="9" t="s">
        <v>1395</v>
      </c>
      <c r="R144">
        <v>1</v>
      </c>
      <c r="S144" s="9" t="s">
        <v>575</v>
      </c>
      <c r="T144" s="9" t="s">
        <v>1395</v>
      </c>
      <c r="U144" s="9" t="s">
        <v>1395</v>
      </c>
      <c r="V144" s="9" t="s">
        <v>1371</v>
      </c>
      <c r="W144" s="9" t="s">
        <v>1372</v>
      </c>
      <c r="X144" s="9" t="s">
        <v>1763</v>
      </c>
      <c r="Y144" s="9" t="s">
        <v>1373</v>
      </c>
      <c r="Z144" s="9" t="s">
        <v>38</v>
      </c>
      <c r="AA144" s="1">
        <v>46209</v>
      </c>
    </row>
    <row r="145" spans="1:27" x14ac:dyDescent="0.25">
      <c r="A145" s="9" t="s">
        <v>1364</v>
      </c>
      <c r="B145" s="9" t="s">
        <v>1365</v>
      </c>
      <c r="C145" s="10">
        <f>_xlfn.XLOOKUP(_2026[[#This Row],[Artist]], Table3[Artist], Table3[Rating], "",)</f>
        <v>0</v>
      </c>
      <c r="D145" s="9">
        <f>_xlfn.XLOOKUP(_2026[[#This Row],[Artist]], Table3[Artist], Table3[Notes], "",)</f>
        <v>0</v>
      </c>
      <c r="E145" s="1">
        <v>46208</v>
      </c>
      <c r="F145" s="2">
        <v>3.125E-2</v>
      </c>
      <c r="G145" s="2">
        <v>0.125</v>
      </c>
      <c r="H145" s="9" t="s">
        <v>100</v>
      </c>
      <c r="I145" s="9" t="s">
        <v>1366</v>
      </c>
      <c r="J145" s="9" t="s">
        <v>162</v>
      </c>
      <c r="K145" s="9" t="s">
        <v>1759</v>
      </c>
      <c r="L145" s="9" t="s">
        <v>1395</v>
      </c>
      <c r="M145" s="9" t="s">
        <v>432</v>
      </c>
      <c r="N145" s="9" t="s">
        <v>1395</v>
      </c>
      <c r="O145" s="9" t="s">
        <v>1395</v>
      </c>
      <c r="P145" s="9" t="s">
        <v>1395</v>
      </c>
      <c r="R145">
        <v>2</v>
      </c>
      <c r="S145" s="9" t="s">
        <v>1395</v>
      </c>
      <c r="T145" s="9" t="s">
        <v>1395</v>
      </c>
      <c r="U145" s="9" t="s">
        <v>1395</v>
      </c>
      <c r="V145" s="9" t="s">
        <v>1367</v>
      </c>
      <c r="W145" s="9" t="s">
        <v>1760</v>
      </c>
      <c r="X145" s="9" t="s">
        <v>1761</v>
      </c>
      <c r="Y145" s="9" t="s">
        <v>1368</v>
      </c>
      <c r="Z145" s="9" t="s">
        <v>38</v>
      </c>
      <c r="AA145" s="1">
        <v>46208</v>
      </c>
    </row>
    <row r="146" spans="1:27" x14ac:dyDescent="0.25">
      <c r="A146" s="9" t="s">
        <v>1360</v>
      </c>
      <c r="B146" s="9" t="s">
        <v>1361</v>
      </c>
      <c r="C146" s="10">
        <f>_xlfn.XLOOKUP(_2026[[#This Row],[Artist]], Table3[Artist], Table3[Rating], "",)</f>
        <v>9</v>
      </c>
      <c r="D146" s="9" t="str">
        <f>_xlfn.XLOOKUP(_2026[[#This Row],[Artist]], Table3[Artist], Table3[Notes], "",)</f>
        <v>Vorig jaar lekker bij gedanst - beetje als St. Paul maar meer poppy.</v>
      </c>
      <c r="E146" s="1">
        <v>46207</v>
      </c>
      <c r="F146" s="2">
        <v>3.125E-2</v>
      </c>
      <c r="G146" s="2">
        <v>0.125</v>
      </c>
      <c r="H146" s="9" t="s">
        <v>100</v>
      </c>
      <c r="I146" s="9" t="s">
        <v>1395</v>
      </c>
      <c r="J146" s="9" t="s">
        <v>1395</v>
      </c>
      <c r="K146" s="9" t="s">
        <v>1756</v>
      </c>
      <c r="L146" s="9" t="s">
        <v>1395</v>
      </c>
      <c r="M146" s="9" t="s">
        <v>432</v>
      </c>
      <c r="N146" s="9" t="s">
        <v>1395</v>
      </c>
      <c r="O146" s="9" t="s">
        <v>1395</v>
      </c>
      <c r="P146" s="9" t="s">
        <v>1395</v>
      </c>
      <c r="R146">
        <v>2</v>
      </c>
      <c r="S146" s="9" t="s">
        <v>55</v>
      </c>
      <c r="T146" s="9" t="s">
        <v>1395</v>
      </c>
      <c r="U146" s="9" t="s">
        <v>1395</v>
      </c>
      <c r="V146" s="9" t="s">
        <v>1362</v>
      </c>
      <c r="W146" s="9" t="s">
        <v>1757</v>
      </c>
      <c r="X146" s="9" t="s">
        <v>1758</v>
      </c>
      <c r="Y146" s="9" t="s">
        <v>1363</v>
      </c>
      <c r="Z146" s="9" t="s">
        <v>38</v>
      </c>
      <c r="AA146" s="1">
        <v>46207</v>
      </c>
    </row>
    <row r="147" spans="1:27" x14ac:dyDescent="0.25">
      <c r="A147" s="9" t="s">
        <v>1024</v>
      </c>
      <c r="B147" s="9" t="s">
        <v>1025</v>
      </c>
      <c r="C147" s="10">
        <f>_xlfn.XLOOKUP(_2026[[#This Row],[Artist]], Table3[Artist], Table3[Rating], "",)</f>
        <v>0</v>
      </c>
      <c r="D147" s="9">
        <f>_xlfn.XLOOKUP(_2026[[#This Row],[Artist]], Table3[Artist], Table3[Notes], "",)</f>
        <v>0</v>
      </c>
      <c r="E147" s="1">
        <v>46208</v>
      </c>
      <c r="F147" s="2">
        <v>0.83333333333333337</v>
      </c>
      <c r="G147" s="2">
        <v>0.875</v>
      </c>
      <c r="H147" s="9" t="s">
        <v>923</v>
      </c>
      <c r="I147" s="9" t="s">
        <v>1026</v>
      </c>
      <c r="J147" s="9" t="s">
        <v>29</v>
      </c>
      <c r="K147" s="9" t="s">
        <v>1027</v>
      </c>
      <c r="L147" s="9" t="s">
        <v>1395</v>
      </c>
      <c r="M147" s="9" t="s">
        <v>1028</v>
      </c>
      <c r="N147" s="9" t="s">
        <v>1395</v>
      </c>
      <c r="O147" s="9" t="s">
        <v>1395</v>
      </c>
      <c r="P147" s="9" t="s">
        <v>1029</v>
      </c>
      <c r="Q147">
        <v>7</v>
      </c>
      <c r="S147" s="9" t="s">
        <v>67</v>
      </c>
      <c r="T147" s="9" t="s">
        <v>35</v>
      </c>
      <c r="U147" s="9" t="s">
        <v>1395</v>
      </c>
      <c r="V147" s="9" t="s">
        <v>1030</v>
      </c>
      <c r="W147" s="9" t="s">
        <v>1031</v>
      </c>
      <c r="X147" s="9" t="s">
        <v>1636</v>
      </c>
      <c r="Y147" s="9" t="s">
        <v>1032</v>
      </c>
      <c r="Z147" s="9" t="s">
        <v>38</v>
      </c>
      <c r="AA147" s="1">
        <v>46208</v>
      </c>
    </row>
    <row r="148" spans="1:27" x14ac:dyDescent="0.25">
      <c r="A148" s="9" t="s">
        <v>1201</v>
      </c>
      <c r="B148" s="9" t="s">
        <v>1202</v>
      </c>
      <c r="C148" s="10">
        <f>_xlfn.XLOOKUP(_2026[[#This Row],[Artist]], Table3[Artist], Table3[Rating], "",)</f>
        <v>0</v>
      </c>
      <c r="D148" s="9">
        <f>_xlfn.XLOOKUP(_2026[[#This Row],[Artist]], Table3[Artist], Table3[Notes], "",)</f>
        <v>0</v>
      </c>
      <c r="E148" s="1">
        <v>46208</v>
      </c>
      <c r="F148" s="2">
        <v>0.72916666666666663</v>
      </c>
      <c r="G148" s="2">
        <v>0.76041666666666663</v>
      </c>
      <c r="H148" s="9" t="s">
        <v>408</v>
      </c>
      <c r="I148" s="9" t="s">
        <v>1395</v>
      </c>
      <c r="J148" s="9" t="s">
        <v>29</v>
      </c>
      <c r="K148" s="9" t="s">
        <v>1203</v>
      </c>
      <c r="L148" s="9" t="s">
        <v>1395</v>
      </c>
      <c r="M148" s="9" t="s">
        <v>1204</v>
      </c>
      <c r="N148" s="9" t="s">
        <v>1395</v>
      </c>
      <c r="O148" s="9" t="s">
        <v>1395</v>
      </c>
      <c r="P148" s="9" t="s">
        <v>1395</v>
      </c>
      <c r="S148" s="9" t="s">
        <v>1395</v>
      </c>
      <c r="T148" s="9" t="s">
        <v>1395</v>
      </c>
      <c r="U148" s="9" t="s">
        <v>1395</v>
      </c>
      <c r="V148" s="9" t="s">
        <v>1205</v>
      </c>
      <c r="W148" s="9" t="s">
        <v>1706</v>
      </c>
      <c r="X148" s="9" t="s">
        <v>1206</v>
      </c>
      <c r="Y148" s="9" t="s">
        <v>1207</v>
      </c>
      <c r="Z148" s="9" t="s">
        <v>38</v>
      </c>
      <c r="AA148" s="1">
        <v>46208</v>
      </c>
    </row>
    <row r="149" spans="1:27" x14ac:dyDescent="0.25">
      <c r="A149" s="9" t="s">
        <v>1033</v>
      </c>
      <c r="B149" s="9" t="s">
        <v>1034</v>
      </c>
      <c r="C149" s="10">
        <f>_xlfn.XLOOKUP(_2026[[#This Row],[Artist]], Table3[Artist], Table3[Rating], "",)</f>
        <v>0</v>
      </c>
      <c r="D149" s="9">
        <f>_xlfn.XLOOKUP(_2026[[#This Row],[Artist]], Table3[Artist], Table3[Notes], "",)</f>
        <v>0</v>
      </c>
      <c r="E149" s="1">
        <v>46207</v>
      </c>
      <c r="F149" s="2">
        <v>0.58333333333333337</v>
      </c>
      <c r="G149" s="2">
        <v>0.625</v>
      </c>
      <c r="H149" s="9" t="s">
        <v>923</v>
      </c>
      <c r="I149" s="9" t="s">
        <v>1035</v>
      </c>
      <c r="J149" s="9" t="s">
        <v>29</v>
      </c>
      <c r="K149" s="9" t="s">
        <v>1036</v>
      </c>
      <c r="L149" s="9" t="s">
        <v>1395</v>
      </c>
      <c r="M149" s="9" t="s">
        <v>432</v>
      </c>
      <c r="N149" s="9" t="s">
        <v>1395</v>
      </c>
      <c r="O149" s="9" t="s">
        <v>1395</v>
      </c>
      <c r="P149" s="9" t="s">
        <v>1395</v>
      </c>
      <c r="R149">
        <v>1</v>
      </c>
      <c r="S149" s="9" t="s">
        <v>575</v>
      </c>
      <c r="T149" s="9" t="s">
        <v>1395</v>
      </c>
      <c r="U149" s="9" t="s">
        <v>1395</v>
      </c>
      <c r="V149" s="9" t="s">
        <v>1037</v>
      </c>
      <c r="W149" s="9" t="s">
        <v>1038</v>
      </c>
      <c r="X149" s="9" t="s">
        <v>1039</v>
      </c>
      <c r="Y149" s="9" t="s">
        <v>1040</v>
      </c>
      <c r="Z149" s="9" t="s">
        <v>38</v>
      </c>
      <c r="AA149" s="1">
        <v>46207</v>
      </c>
    </row>
    <row r="150" spans="1:27" x14ac:dyDescent="0.25">
      <c r="A150" s="9" t="s">
        <v>1883</v>
      </c>
      <c r="B150" s="9" t="s">
        <v>1884</v>
      </c>
      <c r="C150" s="10" t="str">
        <f>_xlfn.XLOOKUP(_2026[[#This Row],[Artist]], Table3[Artist], Table3[Rating], "",)</f>
        <v/>
      </c>
      <c r="D150" s="9" t="str">
        <f>_xlfn.XLOOKUP(_2026[[#This Row],[Artist]], Table3[Artist], Table3[Notes], "",)</f>
        <v/>
      </c>
      <c r="E150" s="1">
        <v>46208</v>
      </c>
      <c r="F150" s="2">
        <v>0.64583333333333337</v>
      </c>
      <c r="G150" s="2">
        <v>0.67708333333333337</v>
      </c>
      <c r="H150" s="9" t="s">
        <v>408</v>
      </c>
      <c r="I150" s="9" t="s">
        <v>1885</v>
      </c>
      <c r="J150" s="9" t="s">
        <v>162</v>
      </c>
      <c r="K150" s="9" t="s">
        <v>1886</v>
      </c>
      <c r="L150" s="9" t="s">
        <v>1395</v>
      </c>
      <c r="M150" s="9" t="s">
        <v>1859</v>
      </c>
      <c r="N150" s="9" t="s">
        <v>1395</v>
      </c>
      <c r="O150" s="9" t="s">
        <v>1395</v>
      </c>
      <c r="P150" s="9" t="s">
        <v>1887</v>
      </c>
      <c r="Q150">
        <v>6</v>
      </c>
      <c r="R150">
        <v>2</v>
      </c>
      <c r="S150" s="9" t="s">
        <v>55</v>
      </c>
      <c r="T150" s="9" t="s">
        <v>35</v>
      </c>
      <c r="U150" s="9" t="s">
        <v>1395</v>
      </c>
      <c r="V150" s="9" t="s">
        <v>1888</v>
      </c>
      <c r="W150" s="9" t="s">
        <v>1889</v>
      </c>
      <c r="X150" s="9" t="s">
        <v>1890</v>
      </c>
      <c r="Y150" s="9" t="s">
        <v>1891</v>
      </c>
      <c r="Z150" s="9" t="s">
        <v>38</v>
      </c>
      <c r="AA150" s="1">
        <v>46208</v>
      </c>
    </row>
    <row r="151" spans="1:27" x14ac:dyDescent="0.25">
      <c r="A151" s="9" t="s">
        <v>864</v>
      </c>
      <c r="B151" s="9" t="s">
        <v>865</v>
      </c>
      <c r="C151" s="10">
        <f>_xlfn.XLOOKUP(_2026[[#This Row],[Artist]], Table3[Artist], Table3[Rating], "",)</f>
        <v>0</v>
      </c>
      <c r="D151" s="9">
        <f>_xlfn.XLOOKUP(_2026[[#This Row],[Artist]], Table3[Artist], Table3[Notes], "",)</f>
        <v>0</v>
      </c>
      <c r="E151" s="1">
        <v>46208</v>
      </c>
      <c r="F151" s="2">
        <v>0.83333333333333337</v>
      </c>
      <c r="G151" s="2">
        <v>0.875</v>
      </c>
      <c r="H151" s="9" t="s">
        <v>743</v>
      </c>
      <c r="I151" s="9" t="s">
        <v>1832</v>
      </c>
      <c r="J151" s="9" t="s">
        <v>162</v>
      </c>
      <c r="K151" s="9" t="s">
        <v>866</v>
      </c>
      <c r="L151" s="9" t="s">
        <v>1395</v>
      </c>
      <c r="M151" s="9" t="s">
        <v>432</v>
      </c>
      <c r="N151" s="9" t="s">
        <v>1395</v>
      </c>
      <c r="O151" s="9" t="s">
        <v>1395</v>
      </c>
      <c r="P151" s="9" t="s">
        <v>1395</v>
      </c>
      <c r="S151" s="9" t="s">
        <v>575</v>
      </c>
      <c r="T151" s="9" t="s">
        <v>1395</v>
      </c>
      <c r="U151" s="9" t="s">
        <v>1395</v>
      </c>
      <c r="V151" s="9" t="s">
        <v>867</v>
      </c>
      <c r="W151" s="9" t="s">
        <v>1582</v>
      </c>
      <c r="X151" s="9" t="s">
        <v>868</v>
      </c>
      <c r="Y151" s="9" t="s">
        <v>869</v>
      </c>
      <c r="Z151" s="9" t="s">
        <v>38</v>
      </c>
      <c r="AA151" s="1">
        <v>46208</v>
      </c>
    </row>
    <row r="152" spans="1:27" x14ac:dyDescent="0.25">
      <c r="A152" s="9" t="s">
        <v>1208</v>
      </c>
      <c r="B152" s="9" t="s">
        <v>1209</v>
      </c>
      <c r="C152" s="10">
        <f>_xlfn.XLOOKUP(_2026[[#This Row],[Artist]], Table3[Artist], Table3[Rating], "",)</f>
        <v>0</v>
      </c>
      <c r="D152" s="9">
        <f>_xlfn.XLOOKUP(_2026[[#This Row],[Artist]], Table3[Artist], Table3[Notes], "",)</f>
        <v>0</v>
      </c>
      <c r="E152" s="1">
        <v>46208</v>
      </c>
      <c r="F152" s="2">
        <v>0.8125</v>
      </c>
      <c r="G152" s="2">
        <v>0.84375</v>
      </c>
      <c r="H152" s="9" t="s">
        <v>408</v>
      </c>
      <c r="I152" s="9" t="s">
        <v>1210</v>
      </c>
      <c r="J152" s="9" t="s">
        <v>113</v>
      </c>
      <c r="K152" s="9" t="s">
        <v>1211</v>
      </c>
      <c r="L152" s="9" t="s">
        <v>1395</v>
      </c>
      <c r="M152" s="9" t="s">
        <v>1212</v>
      </c>
      <c r="N152" s="9" t="s">
        <v>1395</v>
      </c>
      <c r="O152" s="9" t="s">
        <v>1395</v>
      </c>
      <c r="P152" s="9" t="s">
        <v>1213</v>
      </c>
      <c r="Q152">
        <v>7</v>
      </c>
      <c r="R152">
        <v>4</v>
      </c>
      <c r="S152" s="9" t="s">
        <v>55</v>
      </c>
      <c r="T152" s="9" t="s">
        <v>35</v>
      </c>
      <c r="U152" s="9" t="s">
        <v>1395</v>
      </c>
      <c r="V152" s="9" t="s">
        <v>1214</v>
      </c>
      <c r="W152" s="9" t="s">
        <v>1707</v>
      </c>
      <c r="X152" s="9" t="s">
        <v>1708</v>
      </c>
      <c r="Y152" s="9" t="s">
        <v>1215</v>
      </c>
      <c r="Z152" s="9" t="s">
        <v>38</v>
      </c>
      <c r="AA152" s="1">
        <v>46208</v>
      </c>
    </row>
    <row r="153" spans="1:27" x14ac:dyDescent="0.25">
      <c r="A153" s="9" t="s">
        <v>691</v>
      </c>
      <c r="B153" s="9" t="s">
        <v>692</v>
      </c>
      <c r="C153" s="10">
        <f>_xlfn.XLOOKUP(_2026[[#This Row],[Artist]], Table3[Artist], Table3[Rating], "",)</f>
        <v>0</v>
      </c>
      <c r="D153" s="9">
        <f>_xlfn.XLOOKUP(_2026[[#This Row],[Artist]], Table3[Artist], Table3[Notes], "",)</f>
        <v>0</v>
      </c>
      <c r="E153" s="1">
        <v>46208</v>
      </c>
      <c r="F153" s="2">
        <v>0.8125</v>
      </c>
      <c r="G153" s="2">
        <v>0.85416666666666663</v>
      </c>
      <c r="H153" s="9" t="s">
        <v>547</v>
      </c>
      <c r="I153" s="9" t="s">
        <v>112</v>
      </c>
      <c r="J153" s="9" t="s">
        <v>29</v>
      </c>
      <c r="K153" s="9" t="s">
        <v>693</v>
      </c>
      <c r="L153" s="9" t="s">
        <v>1395</v>
      </c>
      <c r="M153" s="9" t="s">
        <v>694</v>
      </c>
      <c r="N153" s="9" t="s">
        <v>1395</v>
      </c>
      <c r="O153" s="9" t="s">
        <v>1395</v>
      </c>
      <c r="P153" s="9" t="s">
        <v>695</v>
      </c>
      <c r="Q153">
        <v>8</v>
      </c>
      <c r="S153" s="9" t="s">
        <v>67</v>
      </c>
      <c r="T153" s="9" t="s">
        <v>35</v>
      </c>
      <c r="U153" s="9" t="s">
        <v>1395</v>
      </c>
      <c r="V153" s="9" t="s">
        <v>696</v>
      </c>
      <c r="W153" s="9" t="s">
        <v>1529</v>
      </c>
      <c r="X153" s="9" t="s">
        <v>697</v>
      </c>
      <c r="Y153" s="9" t="s">
        <v>698</v>
      </c>
      <c r="Z153" s="9" t="s">
        <v>38</v>
      </c>
      <c r="AA153" s="1">
        <v>46208</v>
      </c>
    </row>
    <row r="154" spans="1:27" x14ac:dyDescent="0.25">
      <c r="A154" s="9" t="s">
        <v>870</v>
      </c>
      <c r="B154" s="9" t="s">
        <v>871</v>
      </c>
      <c r="C154" s="10">
        <f>_xlfn.XLOOKUP(_2026[[#This Row],[Artist]], Table3[Artist], Table3[Rating], "",)</f>
        <v>0</v>
      </c>
      <c r="D154" s="9">
        <f>_xlfn.XLOOKUP(_2026[[#This Row],[Artist]], Table3[Artist], Table3[Notes], "",)</f>
        <v>0</v>
      </c>
      <c r="E154" s="1">
        <v>46206</v>
      </c>
      <c r="F154" s="2">
        <v>0.52083333333333337</v>
      </c>
      <c r="G154" s="2">
        <v>0.58333333333333337</v>
      </c>
      <c r="H154" s="9" t="s">
        <v>743</v>
      </c>
      <c r="I154" s="9" t="s">
        <v>1833</v>
      </c>
      <c r="J154" s="9" t="s">
        <v>162</v>
      </c>
      <c r="K154" s="9" t="s">
        <v>1583</v>
      </c>
      <c r="L154" s="9" t="s">
        <v>1395</v>
      </c>
      <c r="M154" s="9" t="s">
        <v>872</v>
      </c>
      <c r="N154" s="9" t="s">
        <v>1395</v>
      </c>
      <c r="O154" s="9" t="s">
        <v>1395</v>
      </c>
      <c r="P154" s="9" t="s">
        <v>1395</v>
      </c>
      <c r="S154" s="9" t="s">
        <v>34</v>
      </c>
      <c r="T154" s="9" t="s">
        <v>1395</v>
      </c>
      <c r="U154" s="9" t="s">
        <v>1395</v>
      </c>
      <c r="V154" s="9" t="s">
        <v>873</v>
      </c>
      <c r="W154" s="9" t="s">
        <v>1584</v>
      </c>
      <c r="X154" s="9" t="s">
        <v>1585</v>
      </c>
      <c r="Y154" s="9" t="s">
        <v>874</v>
      </c>
      <c r="Z154" s="9" t="s">
        <v>38</v>
      </c>
      <c r="AA154" s="1">
        <v>46206</v>
      </c>
    </row>
    <row r="155" spans="1:27" x14ac:dyDescent="0.25">
      <c r="A155" s="9" t="s">
        <v>1041</v>
      </c>
      <c r="B155" s="9" t="s">
        <v>1042</v>
      </c>
      <c r="C155" s="10">
        <f>_xlfn.XLOOKUP(_2026[[#This Row],[Artist]], Table3[Artist], Table3[Rating], "",)</f>
        <v>0</v>
      </c>
      <c r="D155" s="9">
        <f>_xlfn.XLOOKUP(_2026[[#This Row],[Artist]], Table3[Artist], Table3[Notes], "",)</f>
        <v>0</v>
      </c>
      <c r="E155" s="1">
        <v>46208</v>
      </c>
      <c r="F155" s="2">
        <v>0.625</v>
      </c>
      <c r="G155" s="2">
        <v>0.70833333333333337</v>
      </c>
      <c r="H155" s="9" t="s">
        <v>923</v>
      </c>
      <c r="I155" s="9" t="s">
        <v>1395</v>
      </c>
      <c r="J155" s="9" t="s">
        <v>1043</v>
      </c>
      <c r="K155" s="9" t="s">
        <v>1044</v>
      </c>
      <c r="L155" s="9" t="s">
        <v>1395</v>
      </c>
      <c r="M155" s="9" t="s">
        <v>432</v>
      </c>
      <c r="N155" s="9" t="s">
        <v>1395</v>
      </c>
      <c r="O155" s="9" t="s">
        <v>1395</v>
      </c>
      <c r="P155" s="9" t="s">
        <v>1395</v>
      </c>
      <c r="S155" s="9" t="s">
        <v>34</v>
      </c>
      <c r="T155" s="9" t="s">
        <v>1395</v>
      </c>
      <c r="U155" s="9" t="s">
        <v>1395</v>
      </c>
      <c r="V155" s="9" t="s">
        <v>1045</v>
      </c>
      <c r="W155" s="9" t="s">
        <v>1046</v>
      </c>
      <c r="X155" s="9" t="s">
        <v>1047</v>
      </c>
      <c r="Y155" s="9" t="s">
        <v>1048</v>
      </c>
      <c r="Z155" s="9" t="s">
        <v>38</v>
      </c>
      <c r="AA155" s="1">
        <v>46208</v>
      </c>
    </row>
    <row r="156" spans="1:27" x14ac:dyDescent="0.25">
      <c r="A156" s="9" t="s">
        <v>1308</v>
      </c>
      <c r="B156" s="9" t="s">
        <v>1309</v>
      </c>
      <c r="C156" s="10">
        <f>_xlfn.XLOOKUP(_2026[[#This Row],[Artist]], Table3[Artist], Table3[Rating], "",)</f>
        <v>0</v>
      </c>
      <c r="D156" s="9">
        <f>_xlfn.XLOOKUP(_2026[[#This Row],[Artist]], Table3[Artist], Table3[Notes], "",)</f>
        <v>0</v>
      </c>
      <c r="E156" s="1">
        <v>46208</v>
      </c>
      <c r="F156" s="2">
        <v>0.91666666666666663</v>
      </c>
      <c r="G156" s="2">
        <v>0.94791666666666663</v>
      </c>
      <c r="H156" s="9" t="s">
        <v>1843</v>
      </c>
      <c r="I156" s="9" t="s">
        <v>1310</v>
      </c>
      <c r="J156" s="9" t="s">
        <v>74</v>
      </c>
      <c r="K156" s="9" t="s">
        <v>1311</v>
      </c>
      <c r="L156" s="9" t="s">
        <v>1395</v>
      </c>
      <c r="M156" s="9" t="s">
        <v>1312</v>
      </c>
      <c r="N156" s="9" t="s">
        <v>1395</v>
      </c>
      <c r="O156" s="9" t="s">
        <v>1395</v>
      </c>
      <c r="P156" s="9" t="s">
        <v>1313</v>
      </c>
      <c r="Q156">
        <v>7</v>
      </c>
      <c r="S156" s="9" t="s">
        <v>34</v>
      </c>
      <c r="T156" s="9" t="s">
        <v>35</v>
      </c>
      <c r="U156" s="9" t="s">
        <v>1395</v>
      </c>
      <c r="V156" s="9" t="s">
        <v>1314</v>
      </c>
      <c r="W156" s="9" t="s">
        <v>1739</v>
      </c>
      <c r="X156" s="9" t="s">
        <v>1740</v>
      </c>
      <c r="Y156" s="9" t="s">
        <v>1315</v>
      </c>
      <c r="Z156" s="9" t="s">
        <v>38</v>
      </c>
      <c r="AA156" s="1">
        <v>46208</v>
      </c>
    </row>
    <row r="157" spans="1:27" x14ac:dyDescent="0.25">
      <c r="A157" s="9" t="s">
        <v>917</v>
      </c>
      <c r="B157" s="9" t="s">
        <v>1607</v>
      </c>
      <c r="C157" s="10">
        <f>_xlfn.XLOOKUP(_2026[[#This Row],[Artist]], Table3[Artist], Table3[Rating], "",)</f>
        <v>0</v>
      </c>
      <c r="D157" s="9">
        <f>_xlfn.XLOOKUP(_2026[[#This Row],[Artist]], Table3[Artist], Table3[Notes], "",)</f>
        <v>0</v>
      </c>
      <c r="E157" s="1">
        <v>46206</v>
      </c>
      <c r="F157" s="2">
        <v>0.5</v>
      </c>
      <c r="G157" s="2">
        <v>0.52083333333333337</v>
      </c>
      <c r="H157" s="9" t="s">
        <v>743</v>
      </c>
      <c r="I157" s="9" t="s">
        <v>1395</v>
      </c>
      <c r="J157" s="9" t="s">
        <v>759</v>
      </c>
      <c r="K157" s="9" t="s">
        <v>918</v>
      </c>
      <c r="L157" s="9" t="s">
        <v>1395</v>
      </c>
      <c r="M157" s="9" t="s">
        <v>432</v>
      </c>
      <c r="N157" s="9" t="s">
        <v>1395</v>
      </c>
      <c r="O157" s="9" t="s">
        <v>1395</v>
      </c>
      <c r="P157" s="9" t="s">
        <v>1395</v>
      </c>
      <c r="R157">
        <v>1</v>
      </c>
      <c r="S157" s="9" t="s">
        <v>67</v>
      </c>
      <c r="T157" s="9" t="s">
        <v>1395</v>
      </c>
      <c r="U157" s="9" t="s">
        <v>1395</v>
      </c>
      <c r="V157" s="9" t="s">
        <v>919</v>
      </c>
      <c r="W157" s="9" t="s">
        <v>1608</v>
      </c>
      <c r="X157" s="9" t="s">
        <v>920</v>
      </c>
      <c r="Y157" s="9" t="s">
        <v>1395</v>
      </c>
      <c r="Z157" s="9" t="s">
        <v>38</v>
      </c>
      <c r="AA157" s="1">
        <v>46206</v>
      </c>
    </row>
    <row r="158" spans="1:27" x14ac:dyDescent="0.25">
      <c r="A158" s="9" t="s">
        <v>1586</v>
      </c>
      <c r="B158" s="9" t="s">
        <v>875</v>
      </c>
      <c r="C158" s="10">
        <f>_xlfn.XLOOKUP(_2026[[#This Row],[Artist]], Table3[Artist], Table3[Rating], "",)</f>
        <v>0</v>
      </c>
      <c r="D158" s="9">
        <f>_xlfn.XLOOKUP(_2026[[#This Row],[Artist]], Table3[Artist], Table3[Notes], "",)</f>
        <v>0</v>
      </c>
      <c r="E158" s="1">
        <v>46206</v>
      </c>
      <c r="F158" s="2">
        <v>0.58333333333333337</v>
      </c>
      <c r="G158" s="2">
        <v>0.64583333333333337</v>
      </c>
      <c r="H158" s="9" t="s">
        <v>743</v>
      </c>
      <c r="I158" s="9" t="s">
        <v>1395</v>
      </c>
      <c r="J158" s="9" t="s">
        <v>162</v>
      </c>
      <c r="K158" s="9" t="s">
        <v>1587</v>
      </c>
      <c r="L158" s="9" t="s">
        <v>1395</v>
      </c>
      <c r="M158" s="9" t="s">
        <v>432</v>
      </c>
      <c r="N158" s="9" t="s">
        <v>1395</v>
      </c>
      <c r="O158" s="9" t="s">
        <v>1395</v>
      </c>
      <c r="P158" s="9" t="s">
        <v>1395</v>
      </c>
      <c r="R158">
        <v>1</v>
      </c>
      <c r="S158" s="9" t="s">
        <v>67</v>
      </c>
      <c r="T158" s="9" t="s">
        <v>1395</v>
      </c>
      <c r="U158" s="9" t="s">
        <v>1395</v>
      </c>
      <c r="V158" s="9" t="s">
        <v>876</v>
      </c>
      <c r="W158" s="9" t="s">
        <v>1588</v>
      </c>
      <c r="X158" s="9" t="s">
        <v>1589</v>
      </c>
      <c r="Y158" s="9" t="s">
        <v>877</v>
      </c>
      <c r="Z158" s="9" t="s">
        <v>38</v>
      </c>
      <c r="AA158" s="1">
        <v>46206</v>
      </c>
    </row>
    <row r="159" spans="1:27" x14ac:dyDescent="0.25">
      <c r="A159" s="9" t="s">
        <v>878</v>
      </c>
      <c r="B159" s="9" t="s">
        <v>879</v>
      </c>
      <c r="C159" s="10">
        <f>_xlfn.XLOOKUP(_2026[[#This Row],[Artist]], Table3[Artist], Table3[Rating], "",)</f>
        <v>0</v>
      </c>
      <c r="D159" s="9">
        <f>_xlfn.XLOOKUP(_2026[[#This Row],[Artist]], Table3[Artist], Table3[Notes], "",)</f>
        <v>0</v>
      </c>
      <c r="E159" s="1">
        <v>46209</v>
      </c>
      <c r="F159" s="2">
        <v>0</v>
      </c>
      <c r="G159" s="2">
        <v>6.25E-2</v>
      </c>
      <c r="H159" s="9" t="s">
        <v>743</v>
      </c>
      <c r="I159" s="9" t="s">
        <v>1834</v>
      </c>
      <c r="J159" s="9" t="s">
        <v>162</v>
      </c>
      <c r="K159" s="9" t="s">
        <v>880</v>
      </c>
      <c r="L159" s="9" t="s">
        <v>1395</v>
      </c>
      <c r="M159" s="9" t="s">
        <v>432</v>
      </c>
      <c r="N159" s="9" t="s">
        <v>1395</v>
      </c>
      <c r="O159" s="9" t="s">
        <v>1395</v>
      </c>
      <c r="P159" s="9" t="s">
        <v>1395</v>
      </c>
      <c r="R159">
        <v>1</v>
      </c>
      <c r="S159" s="9" t="s">
        <v>34</v>
      </c>
      <c r="T159" s="9" t="s">
        <v>1395</v>
      </c>
      <c r="U159" s="9" t="s">
        <v>1395</v>
      </c>
      <c r="V159" s="9" t="s">
        <v>881</v>
      </c>
      <c r="W159" s="9" t="s">
        <v>1590</v>
      </c>
      <c r="X159" s="9" t="s">
        <v>882</v>
      </c>
      <c r="Y159" s="9" t="s">
        <v>883</v>
      </c>
      <c r="Z159" s="9" t="s">
        <v>38</v>
      </c>
      <c r="AA159" s="1">
        <v>46209</v>
      </c>
    </row>
    <row r="160" spans="1:27" x14ac:dyDescent="0.25">
      <c r="A160" s="9" t="s">
        <v>221</v>
      </c>
      <c r="B160" s="9" t="s">
        <v>222</v>
      </c>
      <c r="C160" s="10">
        <f>_xlfn.XLOOKUP(_2026[[#This Row],[Artist]], Table3[Artist], Table3[Rating], "",)</f>
        <v>7</v>
      </c>
      <c r="D160" s="9" t="str">
        <f>_xlfn.XLOOKUP(_2026[[#This Row],[Artist]], Table3[Artist], Table3[Notes], "",)</f>
        <v>Traditionele country, leuke zangeres.</v>
      </c>
      <c r="E160" s="1">
        <v>46207</v>
      </c>
      <c r="F160" s="2">
        <v>0.63541666666666663</v>
      </c>
      <c r="G160" s="2">
        <v>0.67708333333333337</v>
      </c>
      <c r="H160" s="9" t="s">
        <v>27</v>
      </c>
      <c r="I160" s="9" t="s">
        <v>223</v>
      </c>
      <c r="J160" s="9" t="s">
        <v>62</v>
      </c>
      <c r="K160" s="9" t="s">
        <v>224</v>
      </c>
      <c r="L160" s="9" t="s">
        <v>225</v>
      </c>
      <c r="M160" s="9" t="s">
        <v>226</v>
      </c>
      <c r="N160" s="9" t="s">
        <v>1395</v>
      </c>
      <c r="O160" s="9" t="s">
        <v>1395</v>
      </c>
      <c r="P160" s="9" t="s">
        <v>227</v>
      </c>
      <c r="Q160">
        <v>7</v>
      </c>
      <c r="S160" s="9" t="s">
        <v>34</v>
      </c>
      <c r="T160" s="9" t="s">
        <v>35</v>
      </c>
      <c r="U160" s="9" t="s">
        <v>1395</v>
      </c>
      <c r="V160" s="9" t="s">
        <v>228</v>
      </c>
      <c r="W160" s="9" t="s">
        <v>1430</v>
      </c>
      <c r="X160" s="9" t="s">
        <v>1431</v>
      </c>
      <c r="Y160" s="9" t="s">
        <v>229</v>
      </c>
      <c r="Z160" s="9" t="s">
        <v>38</v>
      </c>
      <c r="AA160" s="1">
        <v>46207</v>
      </c>
    </row>
    <row r="161" spans="1:27" x14ac:dyDescent="0.25">
      <c r="A161" s="9" t="s">
        <v>884</v>
      </c>
      <c r="B161" s="9" t="s">
        <v>885</v>
      </c>
      <c r="C161" s="10">
        <f>_xlfn.XLOOKUP(_2026[[#This Row],[Artist]], Table3[Artist], Table3[Rating], "",)</f>
        <v>0</v>
      </c>
      <c r="D161" s="9">
        <f>_xlfn.XLOOKUP(_2026[[#This Row],[Artist]], Table3[Artist], Table3[Notes], "",)</f>
        <v>0</v>
      </c>
      <c r="E161" s="1">
        <v>46206</v>
      </c>
      <c r="F161" s="2">
        <v>0.89583333333333337</v>
      </c>
      <c r="G161" s="2">
        <v>0.95833333333333337</v>
      </c>
      <c r="H161" s="9" t="s">
        <v>743</v>
      </c>
      <c r="I161" s="9" t="s">
        <v>886</v>
      </c>
      <c r="J161" s="9" t="s">
        <v>162</v>
      </c>
      <c r="K161" s="9" t="s">
        <v>1591</v>
      </c>
      <c r="L161" s="9" t="s">
        <v>1395</v>
      </c>
      <c r="M161" s="9" t="s">
        <v>887</v>
      </c>
      <c r="N161" s="9" t="s">
        <v>1395</v>
      </c>
      <c r="O161" s="9" t="s">
        <v>1395</v>
      </c>
      <c r="P161" s="9" t="s">
        <v>1395</v>
      </c>
      <c r="R161">
        <v>2</v>
      </c>
      <c r="S161" s="9" t="s">
        <v>1395</v>
      </c>
      <c r="T161" s="9" t="s">
        <v>1395</v>
      </c>
      <c r="U161" s="9" t="s">
        <v>1395</v>
      </c>
      <c r="V161" s="9" t="s">
        <v>888</v>
      </c>
      <c r="W161" s="9" t="s">
        <v>1592</v>
      </c>
      <c r="X161" s="9" t="s">
        <v>1593</v>
      </c>
      <c r="Y161" s="9" t="s">
        <v>889</v>
      </c>
      <c r="Z161" s="9" t="s">
        <v>38</v>
      </c>
      <c r="AA161" s="1">
        <v>46206</v>
      </c>
    </row>
    <row r="162" spans="1:27" x14ac:dyDescent="0.25">
      <c r="A162" s="9" t="s">
        <v>1154</v>
      </c>
      <c r="B162" s="9" t="s">
        <v>1685</v>
      </c>
      <c r="C162" s="10">
        <f>_xlfn.XLOOKUP(_2026[[#This Row],[Artist]], Table3[Artist], Table3[Rating], "",)</f>
        <v>0</v>
      </c>
      <c r="D162" s="9">
        <f>_xlfn.XLOOKUP(_2026[[#This Row],[Artist]], Table3[Artist], Table3[Notes], "",)</f>
        <v>0</v>
      </c>
      <c r="E162" s="1">
        <v>46207</v>
      </c>
      <c r="F162" s="2">
        <v>0.45833333333333331</v>
      </c>
      <c r="G162" s="2">
        <v>0.5</v>
      </c>
      <c r="H162" s="9" t="s">
        <v>1062</v>
      </c>
      <c r="I162" s="9" t="s">
        <v>1395</v>
      </c>
      <c r="J162" s="9" t="s">
        <v>162</v>
      </c>
      <c r="K162" s="9" t="s">
        <v>1686</v>
      </c>
      <c r="L162" s="9" t="s">
        <v>1395</v>
      </c>
      <c r="M162" s="9" t="s">
        <v>432</v>
      </c>
      <c r="N162" s="9" t="s">
        <v>1395</v>
      </c>
      <c r="O162" s="9" t="s">
        <v>1395</v>
      </c>
      <c r="P162" s="9" t="s">
        <v>1395</v>
      </c>
      <c r="R162">
        <v>1</v>
      </c>
      <c r="S162" s="9" t="s">
        <v>1395</v>
      </c>
      <c r="T162" s="9" t="s">
        <v>1395</v>
      </c>
      <c r="U162" s="9" t="s">
        <v>1395</v>
      </c>
      <c r="V162" s="9" t="s">
        <v>1155</v>
      </c>
      <c r="W162" s="9" t="s">
        <v>1687</v>
      </c>
      <c r="X162" s="9" t="s">
        <v>1688</v>
      </c>
      <c r="Y162" s="9" t="s">
        <v>1156</v>
      </c>
      <c r="Z162" s="9" t="s">
        <v>38</v>
      </c>
      <c r="AA162" s="1">
        <v>46207</v>
      </c>
    </row>
    <row r="163" spans="1:27" x14ac:dyDescent="0.25">
      <c r="A163" s="9" t="s">
        <v>1216</v>
      </c>
      <c r="B163" s="9" t="s">
        <v>1217</v>
      </c>
      <c r="C163" s="10">
        <f>_xlfn.XLOOKUP(_2026[[#This Row],[Artist]], Table3[Artist], Table3[Rating], "",)</f>
        <v>0</v>
      </c>
      <c r="D163" s="9">
        <f>_xlfn.XLOOKUP(_2026[[#This Row],[Artist]], Table3[Artist], Table3[Notes], "",)</f>
        <v>0</v>
      </c>
      <c r="E163" s="1">
        <v>46208</v>
      </c>
      <c r="F163" s="2">
        <v>0.64583333333333337</v>
      </c>
      <c r="G163" s="2">
        <v>0.67708333333333337</v>
      </c>
      <c r="H163" s="9" t="s">
        <v>408</v>
      </c>
      <c r="I163" s="9" t="s">
        <v>1842</v>
      </c>
      <c r="J163" s="9" t="s">
        <v>275</v>
      </c>
      <c r="K163" s="9" t="s">
        <v>1218</v>
      </c>
      <c r="L163" s="9" t="s">
        <v>1395</v>
      </c>
      <c r="M163" s="9" t="s">
        <v>1219</v>
      </c>
      <c r="N163" s="9" t="s">
        <v>1395</v>
      </c>
      <c r="O163" s="9" t="s">
        <v>1395</v>
      </c>
      <c r="P163" s="9" t="s">
        <v>1395</v>
      </c>
      <c r="R163">
        <v>3</v>
      </c>
      <c r="S163" s="9" t="s">
        <v>1395</v>
      </c>
      <c r="T163" s="9" t="s">
        <v>1395</v>
      </c>
      <c r="U163" s="9" t="s">
        <v>38</v>
      </c>
      <c r="V163" s="9" t="s">
        <v>1220</v>
      </c>
      <c r="W163" s="9" t="s">
        <v>1709</v>
      </c>
      <c r="X163" s="9" t="s">
        <v>1221</v>
      </c>
      <c r="Y163" s="9" t="s">
        <v>1222</v>
      </c>
      <c r="Z163" s="9" t="s">
        <v>38</v>
      </c>
      <c r="AA163" s="1">
        <v>46208</v>
      </c>
    </row>
    <row r="164" spans="1:27" x14ac:dyDescent="0.25">
      <c r="A164" s="9" t="s">
        <v>230</v>
      </c>
      <c r="B164" s="9" t="s">
        <v>231</v>
      </c>
      <c r="C164" s="10">
        <f>_xlfn.XLOOKUP(_2026[[#This Row],[Artist]], Table3[Artist], Table3[Rating], "",)</f>
        <v>5</v>
      </c>
      <c r="D164" s="9" t="str">
        <f>_xlfn.XLOOKUP(_2026[[#This Row],[Artist]], Table3[Artist], Table3[Notes], "",)</f>
        <v>Aanstellers</v>
      </c>
      <c r="E164" s="1">
        <v>46206</v>
      </c>
      <c r="F164" s="2">
        <v>0.72916666666666663</v>
      </c>
      <c r="G164" s="2">
        <v>0.77083333333333337</v>
      </c>
      <c r="H164" s="9" t="s">
        <v>27</v>
      </c>
      <c r="I164" s="9" t="s">
        <v>232</v>
      </c>
      <c r="J164" s="9" t="s">
        <v>162</v>
      </c>
      <c r="K164" s="9" t="s">
        <v>233</v>
      </c>
      <c r="L164" s="9" t="s">
        <v>1395</v>
      </c>
      <c r="M164" s="9" t="s">
        <v>234</v>
      </c>
      <c r="N164" s="9" t="s">
        <v>1395</v>
      </c>
      <c r="O164" s="9" t="s">
        <v>1395</v>
      </c>
      <c r="P164" s="9" t="s">
        <v>235</v>
      </c>
      <c r="Q164">
        <v>7</v>
      </c>
      <c r="R164">
        <v>6</v>
      </c>
      <c r="S164" s="9" t="s">
        <v>67</v>
      </c>
      <c r="T164" s="9" t="s">
        <v>35</v>
      </c>
      <c r="U164" s="9" t="s">
        <v>1395</v>
      </c>
      <c r="V164" s="9" t="s">
        <v>236</v>
      </c>
      <c r="W164" s="9" t="s">
        <v>1432</v>
      </c>
      <c r="X164" s="9" t="s">
        <v>1433</v>
      </c>
      <c r="Y164" s="9" t="s">
        <v>237</v>
      </c>
      <c r="Z164" s="9" t="s">
        <v>38</v>
      </c>
      <c r="AA164" s="1">
        <v>46206</v>
      </c>
    </row>
    <row r="165" spans="1:27" x14ac:dyDescent="0.25">
      <c r="A165" s="9" t="s">
        <v>1379</v>
      </c>
      <c r="B165" s="9" t="s">
        <v>1380</v>
      </c>
      <c r="C165" s="10">
        <f>_xlfn.XLOOKUP(_2026[[#This Row],[Artist]], Table3[Artist], Table3[Rating], "",)</f>
        <v>0</v>
      </c>
      <c r="D165" s="9">
        <f>_xlfn.XLOOKUP(_2026[[#This Row],[Artist]], Table3[Artist], Table3[Notes], "",)</f>
        <v>0</v>
      </c>
      <c r="E165" s="1">
        <v>46206</v>
      </c>
      <c r="F165" s="2">
        <v>0.54166666666666663</v>
      </c>
      <c r="G165" s="2">
        <v>4.1666666666666664E-2</v>
      </c>
      <c r="H165" s="9" t="s">
        <v>1395</v>
      </c>
      <c r="I165" s="9" t="s">
        <v>1395</v>
      </c>
      <c r="J165" s="9" t="s">
        <v>1395</v>
      </c>
      <c r="K165" s="9" t="s">
        <v>1765</v>
      </c>
      <c r="L165" s="9" t="s">
        <v>1395</v>
      </c>
      <c r="M165" s="9" t="s">
        <v>432</v>
      </c>
      <c r="N165" s="9" t="s">
        <v>1395</v>
      </c>
      <c r="O165" s="9" t="s">
        <v>1395</v>
      </c>
      <c r="P165" s="9" t="s">
        <v>1395</v>
      </c>
      <c r="S165" s="9" t="s">
        <v>1395</v>
      </c>
      <c r="T165" s="9" t="s">
        <v>1395</v>
      </c>
      <c r="U165" s="9" t="s">
        <v>1395</v>
      </c>
      <c r="V165" s="9" t="s">
        <v>1381</v>
      </c>
      <c r="W165" s="9" t="s">
        <v>1382</v>
      </c>
      <c r="X165" s="9" t="s">
        <v>1766</v>
      </c>
      <c r="Y165" s="9" t="s">
        <v>1395</v>
      </c>
      <c r="Z165" s="9" t="s">
        <v>38</v>
      </c>
      <c r="AA165" s="1">
        <v>46207</v>
      </c>
    </row>
    <row r="166" spans="1:27" x14ac:dyDescent="0.25">
      <c r="A166" s="9" t="s">
        <v>1223</v>
      </c>
      <c r="B166" s="9" t="s">
        <v>1224</v>
      </c>
      <c r="C166" s="10">
        <f>_xlfn.XLOOKUP(_2026[[#This Row],[Artist]], Table3[Artist], Table3[Rating], "",)</f>
        <v>0</v>
      </c>
      <c r="D166" s="9">
        <f>_xlfn.XLOOKUP(_2026[[#This Row],[Artist]], Table3[Artist], Table3[Notes], "",)</f>
        <v>0</v>
      </c>
      <c r="E166" s="1">
        <v>46207</v>
      </c>
      <c r="F166" s="2">
        <v>0.80208333333333337</v>
      </c>
      <c r="G166" s="2">
        <v>0.83333333333333337</v>
      </c>
      <c r="H166" s="9" t="s">
        <v>408</v>
      </c>
      <c r="I166" s="9" t="s">
        <v>161</v>
      </c>
      <c r="J166" s="9" t="s">
        <v>162</v>
      </c>
      <c r="K166" s="9" t="s">
        <v>1710</v>
      </c>
      <c r="L166" s="9" t="s">
        <v>1395</v>
      </c>
      <c r="M166" s="9" t="s">
        <v>1225</v>
      </c>
      <c r="N166" s="9" t="s">
        <v>1395</v>
      </c>
      <c r="O166" s="9" t="s">
        <v>1395</v>
      </c>
      <c r="P166" s="9" t="s">
        <v>1395</v>
      </c>
      <c r="R166">
        <v>1</v>
      </c>
      <c r="S166" s="9" t="s">
        <v>575</v>
      </c>
      <c r="T166" s="9" t="s">
        <v>1395</v>
      </c>
      <c r="U166" s="9" t="s">
        <v>1395</v>
      </c>
      <c r="V166" s="9" t="s">
        <v>1226</v>
      </c>
      <c r="W166" s="9" t="s">
        <v>1711</v>
      </c>
      <c r="X166" s="9" t="s">
        <v>1712</v>
      </c>
      <c r="Y166" s="9" t="s">
        <v>1227</v>
      </c>
      <c r="Z166" s="9" t="s">
        <v>38</v>
      </c>
      <c r="AA166" s="1">
        <v>46207</v>
      </c>
    </row>
    <row r="167" spans="1:27" x14ac:dyDescent="0.25">
      <c r="A167" s="9" t="s">
        <v>1126</v>
      </c>
      <c r="B167" s="9" t="s">
        <v>1667</v>
      </c>
      <c r="C167" s="10">
        <f>_xlfn.XLOOKUP(_2026[[#This Row],[Artist]], Table3[Artist], Table3[Rating], "",)</f>
        <v>0</v>
      </c>
      <c r="D167" s="9">
        <f>_xlfn.XLOOKUP(_2026[[#This Row],[Artist]], Table3[Artist], Table3[Notes], "",)</f>
        <v>0</v>
      </c>
      <c r="E167" s="1">
        <v>46206</v>
      </c>
      <c r="F167" s="2">
        <v>0.8125</v>
      </c>
      <c r="G167" s="2">
        <v>0.85416666666666663</v>
      </c>
      <c r="H167" s="9" t="s">
        <v>1062</v>
      </c>
      <c r="I167" s="9" t="s">
        <v>161</v>
      </c>
      <c r="J167" s="9" t="s">
        <v>162</v>
      </c>
      <c r="K167" s="9" t="s">
        <v>1668</v>
      </c>
      <c r="L167" s="9" t="s">
        <v>1395</v>
      </c>
      <c r="M167" s="9" t="s">
        <v>1127</v>
      </c>
      <c r="N167" s="9" t="s">
        <v>1395</v>
      </c>
      <c r="O167" s="9" t="s">
        <v>1395</v>
      </c>
      <c r="P167" s="9" t="s">
        <v>1395</v>
      </c>
      <c r="S167" s="9" t="s">
        <v>1395</v>
      </c>
      <c r="T167" s="9" t="s">
        <v>1395</v>
      </c>
      <c r="U167" s="9" t="s">
        <v>1395</v>
      </c>
      <c r="V167" s="9" t="s">
        <v>1128</v>
      </c>
      <c r="W167" s="9" t="s">
        <v>1669</v>
      </c>
      <c r="X167" s="9" t="s">
        <v>1670</v>
      </c>
      <c r="Y167" s="9" t="s">
        <v>1129</v>
      </c>
      <c r="Z167" s="9" t="s">
        <v>38</v>
      </c>
      <c r="AA167" s="1">
        <v>46206</v>
      </c>
    </row>
    <row r="168" spans="1:27" x14ac:dyDescent="0.25">
      <c r="A168" s="9" t="s">
        <v>1390</v>
      </c>
      <c r="B168" s="9" t="s">
        <v>1391</v>
      </c>
      <c r="C168" s="10">
        <f>_xlfn.XLOOKUP(_2026[[#This Row],[Artist]], Table3[Artist], Table3[Rating], "",)</f>
        <v>0</v>
      </c>
      <c r="D168" s="9">
        <f>_xlfn.XLOOKUP(_2026[[#This Row],[Artist]], Table3[Artist], Table3[Notes], "",)</f>
        <v>0</v>
      </c>
      <c r="E168" s="1">
        <v>46208</v>
      </c>
      <c r="F168" s="2">
        <v>0.92708333333333337</v>
      </c>
      <c r="G168" s="2">
        <v>0.95833333333333337</v>
      </c>
      <c r="H168" s="9" t="s">
        <v>111</v>
      </c>
      <c r="I168" s="9" t="s">
        <v>1392</v>
      </c>
      <c r="J168" s="9" t="s">
        <v>162</v>
      </c>
      <c r="K168" s="9" t="s">
        <v>1393</v>
      </c>
      <c r="L168" s="9" t="s">
        <v>1395</v>
      </c>
      <c r="M168" s="9" t="s">
        <v>256</v>
      </c>
      <c r="N168" s="9" t="s">
        <v>1395</v>
      </c>
      <c r="O168" s="9" t="s">
        <v>1395</v>
      </c>
      <c r="P168" s="9" t="s">
        <v>1394</v>
      </c>
      <c r="Q168">
        <v>8</v>
      </c>
      <c r="S168" s="9" t="s">
        <v>67</v>
      </c>
      <c r="T168" s="9" t="s">
        <v>38</v>
      </c>
      <c r="U168" s="9" t="s">
        <v>1395</v>
      </c>
      <c r="V168" s="9" t="s">
        <v>262</v>
      </c>
      <c r="W168" s="9" t="s">
        <v>1772</v>
      </c>
      <c r="X168" s="9" t="s">
        <v>1773</v>
      </c>
      <c r="Y168" s="9" t="s">
        <v>258</v>
      </c>
      <c r="Z168" s="9" t="s">
        <v>38</v>
      </c>
      <c r="AA168" s="1">
        <v>46208</v>
      </c>
    </row>
    <row r="169" spans="1:27" x14ac:dyDescent="0.25">
      <c r="A169" s="9" t="s">
        <v>259</v>
      </c>
      <c r="B169" s="9" t="s">
        <v>260</v>
      </c>
      <c r="C169" s="10">
        <f>_xlfn.XLOOKUP(_2026[[#This Row],[Artist]], Table3[Artist], Table3[Rating], "",)</f>
        <v>0</v>
      </c>
      <c r="D169" s="9">
        <f>_xlfn.XLOOKUP(_2026[[#This Row],[Artist]], Table3[Artist], Table3[Notes], "",)</f>
        <v>0</v>
      </c>
      <c r="E169" s="1">
        <v>46208</v>
      </c>
      <c r="F169" s="2">
        <v>0.92708333333333337</v>
      </c>
      <c r="G169" s="2">
        <v>0.95833333333333337</v>
      </c>
      <c r="H169" s="9" t="s">
        <v>111</v>
      </c>
      <c r="I169" s="9" t="s">
        <v>1395</v>
      </c>
      <c r="J169" s="9" t="s">
        <v>1395</v>
      </c>
      <c r="K169" s="9" t="s">
        <v>261</v>
      </c>
      <c r="L169" s="9" t="s">
        <v>1395</v>
      </c>
      <c r="M169" s="9" t="s">
        <v>256</v>
      </c>
      <c r="N169" s="9" t="s">
        <v>1395</v>
      </c>
      <c r="O169" s="9" t="s">
        <v>1395</v>
      </c>
      <c r="P169" s="9" t="s">
        <v>1395</v>
      </c>
      <c r="S169" s="9" t="s">
        <v>1395</v>
      </c>
      <c r="T169" s="9" t="s">
        <v>1395</v>
      </c>
      <c r="U169" s="9" t="s">
        <v>1395</v>
      </c>
      <c r="V169" s="9" t="s">
        <v>262</v>
      </c>
      <c r="W169" s="9" t="s">
        <v>263</v>
      </c>
      <c r="X169" s="9" t="s">
        <v>264</v>
      </c>
      <c r="Y169" s="9" t="s">
        <v>1395</v>
      </c>
      <c r="Z169" s="9" t="s">
        <v>38</v>
      </c>
      <c r="AA169" s="1">
        <v>46208</v>
      </c>
    </row>
    <row r="170" spans="1:27" x14ac:dyDescent="0.25">
      <c r="A170" s="9" t="s">
        <v>254</v>
      </c>
      <c r="B170" s="9" t="s">
        <v>255</v>
      </c>
      <c r="C170" s="10">
        <f>_xlfn.XLOOKUP(_2026[[#This Row],[Artist]], Table3[Artist], Table3[Rating], "",)</f>
        <v>6</v>
      </c>
      <c r="D170" s="9">
        <f>_xlfn.XLOOKUP(_2026[[#This Row],[Artist]], Table3[Artist], Table3[Notes], "",)</f>
        <v>0</v>
      </c>
      <c r="E170" s="1">
        <v>46206</v>
      </c>
      <c r="F170" s="2">
        <v>0.65625</v>
      </c>
      <c r="G170" s="2">
        <v>0.6875</v>
      </c>
      <c r="H170" s="9" t="s">
        <v>27</v>
      </c>
      <c r="I170" s="9" t="s">
        <v>161</v>
      </c>
      <c r="J170" s="9" t="s">
        <v>162</v>
      </c>
      <c r="K170" s="9" t="s">
        <v>1438</v>
      </c>
      <c r="L170" s="9" t="s">
        <v>1395</v>
      </c>
      <c r="M170" s="9" t="s">
        <v>256</v>
      </c>
      <c r="N170" s="9" t="s">
        <v>1395</v>
      </c>
      <c r="O170" s="9" t="s">
        <v>1395</v>
      </c>
      <c r="P170" s="9" t="s">
        <v>1395</v>
      </c>
      <c r="S170" s="9" t="s">
        <v>67</v>
      </c>
      <c r="T170" s="9" t="s">
        <v>1395</v>
      </c>
      <c r="U170" s="9" t="s">
        <v>1395</v>
      </c>
      <c r="V170" s="9" t="s">
        <v>257</v>
      </c>
      <c r="W170" s="9" t="s">
        <v>1439</v>
      </c>
      <c r="X170" s="9" t="s">
        <v>1440</v>
      </c>
      <c r="Y170" s="9" t="s">
        <v>258</v>
      </c>
      <c r="Z170" s="9" t="s">
        <v>38</v>
      </c>
      <c r="AA170" s="1">
        <v>46206</v>
      </c>
    </row>
    <row r="171" spans="1:27" x14ac:dyDescent="0.25">
      <c r="A171" s="9" t="s">
        <v>1137</v>
      </c>
      <c r="B171" s="9" t="s">
        <v>1395</v>
      </c>
      <c r="C171" s="10">
        <f>_xlfn.XLOOKUP(_2026[[#This Row],[Artist]], Table3[Artist], Table3[Rating], "",)</f>
        <v>0</v>
      </c>
      <c r="D171" s="9">
        <f>_xlfn.XLOOKUP(_2026[[#This Row],[Artist]], Table3[Artist], Table3[Notes], "",)</f>
        <v>0</v>
      </c>
      <c r="E171" s="1">
        <v>46207</v>
      </c>
      <c r="F171" s="2">
        <v>0.8125</v>
      </c>
      <c r="G171" s="2">
        <v>0.84375</v>
      </c>
      <c r="H171" s="9" t="s">
        <v>1062</v>
      </c>
      <c r="I171" s="9" t="s">
        <v>1395</v>
      </c>
      <c r="J171" s="9" t="s">
        <v>1395</v>
      </c>
      <c r="K171" s="9" t="s">
        <v>1395</v>
      </c>
      <c r="L171" s="9" t="s">
        <v>1395</v>
      </c>
      <c r="M171" s="9" t="s">
        <v>432</v>
      </c>
      <c r="N171" s="9" t="s">
        <v>1395</v>
      </c>
      <c r="O171" s="9" t="s">
        <v>1395</v>
      </c>
      <c r="P171" s="9" t="s">
        <v>1395</v>
      </c>
      <c r="S171" s="9" t="s">
        <v>1395</v>
      </c>
      <c r="T171" s="9" t="s">
        <v>1395</v>
      </c>
      <c r="U171" s="9" t="s">
        <v>1395</v>
      </c>
      <c r="V171" s="9" t="s">
        <v>1138</v>
      </c>
      <c r="W171" s="9" t="s">
        <v>1395</v>
      </c>
      <c r="X171" s="9" t="s">
        <v>1395</v>
      </c>
      <c r="Y171" s="9" t="s">
        <v>1395</v>
      </c>
      <c r="Z171" s="9" t="s">
        <v>38</v>
      </c>
      <c r="AA171" s="1">
        <v>46207</v>
      </c>
    </row>
    <row r="172" spans="1:27" x14ac:dyDescent="0.25">
      <c r="A172" s="9" t="s">
        <v>1254</v>
      </c>
      <c r="B172" s="9" t="s">
        <v>1255</v>
      </c>
      <c r="C172" s="10">
        <f>_xlfn.XLOOKUP(_2026[[#This Row],[Artist]], Table3[Artist], Table3[Rating], "",)</f>
        <v>0</v>
      </c>
      <c r="D172" s="9">
        <f>_xlfn.XLOOKUP(_2026[[#This Row],[Artist]], Table3[Artist], Table3[Notes], "",)</f>
        <v>0</v>
      </c>
      <c r="E172" s="1">
        <v>46206</v>
      </c>
      <c r="F172" s="2">
        <v>0.58333333333333337</v>
      </c>
      <c r="G172" s="2">
        <v>0.875</v>
      </c>
      <c r="H172" s="9" t="s">
        <v>1843</v>
      </c>
      <c r="I172" s="9" t="s">
        <v>1395</v>
      </c>
      <c r="J172" s="9" t="s">
        <v>1395</v>
      </c>
      <c r="K172" s="9" t="s">
        <v>1727</v>
      </c>
      <c r="L172" s="9" t="s">
        <v>1395</v>
      </c>
      <c r="M172" s="9" t="s">
        <v>432</v>
      </c>
      <c r="N172" s="9" t="s">
        <v>1395</v>
      </c>
      <c r="O172" s="9" t="s">
        <v>1395</v>
      </c>
      <c r="P172" s="9" t="s">
        <v>1395</v>
      </c>
      <c r="S172" s="9" t="s">
        <v>1395</v>
      </c>
      <c r="T172" s="9" t="s">
        <v>1395</v>
      </c>
      <c r="U172" s="9" t="s">
        <v>1395</v>
      </c>
      <c r="V172" s="9" t="s">
        <v>1256</v>
      </c>
      <c r="W172" s="9" t="s">
        <v>1728</v>
      </c>
      <c r="X172" s="9" t="s">
        <v>1729</v>
      </c>
      <c r="Y172" s="9" t="s">
        <v>1257</v>
      </c>
      <c r="Z172" s="9" t="s">
        <v>38</v>
      </c>
      <c r="AA172" s="1">
        <v>46206</v>
      </c>
    </row>
    <row r="173" spans="1:27" x14ac:dyDescent="0.25">
      <c r="A173" s="9" t="s">
        <v>90</v>
      </c>
      <c r="B173" s="9" t="s">
        <v>91</v>
      </c>
      <c r="C173" s="10">
        <f>_xlfn.XLOOKUP(_2026[[#This Row],[Artist]], Table3[Artist], Table3[Rating], "",)</f>
        <v>8</v>
      </c>
      <c r="D173" s="9" t="str">
        <f>_xlfn.XLOOKUP(_2026[[#This Row],[Artist]], Table3[Artist], Table3[Notes], "",)</f>
        <v>Nu alweer terug! Tweede album valt een beetje tege.</v>
      </c>
      <c r="E173" s="1">
        <v>46207</v>
      </c>
      <c r="F173" s="2">
        <v>0.71875</v>
      </c>
      <c r="G173" s="2">
        <v>0.76041666666666663</v>
      </c>
      <c r="H173" s="9" t="s">
        <v>27</v>
      </c>
      <c r="I173" s="9" t="s">
        <v>92</v>
      </c>
      <c r="J173" s="9" t="s">
        <v>29</v>
      </c>
      <c r="K173" s="9" t="s">
        <v>93</v>
      </c>
      <c r="L173" s="9" t="s">
        <v>1395</v>
      </c>
      <c r="M173" s="9" t="s">
        <v>94</v>
      </c>
      <c r="N173" s="9" t="s">
        <v>1395</v>
      </c>
      <c r="O173" s="9" t="s">
        <v>1395</v>
      </c>
      <c r="P173" s="9" t="s">
        <v>95</v>
      </c>
      <c r="Q173">
        <v>7</v>
      </c>
      <c r="R173">
        <v>5</v>
      </c>
      <c r="S173" s="9" t="s">
        <v>34</v>
      </c>
      <c r="T173" s="9" t="s">
        <v>35</v>
      </c>
      <c r="U173" s="9" t="s">
        <v>1395</v>
      </c>
      <c r="V173" s="9" t="s">
        <v>96</v>
      </c>
      <c r="W173" s="9" t="s">
        <v>1406</v>
      </c>
      <c r="X173" s="9" t="s">
        <v>1407</v>
      </c>
      <c r="Y173" s="9" t="s">
        <v>97</v>
      </c>
      <c r="Z173" s="9" t="s">
        <v>38</v>
      </c>
      <c r="AA173" s="1">
        <v>46207</v>
      </c>
    </row>
    <row r="174" spans="1:27" x14ac:dyDescent="0.25">
      <c r="A174" s="9" t="s">
        <v>437</v>
      </c>
      <c r="B174" s="9" t="s">
        <v>438</v>
      </c>
      <c r="C174" s="10">
        <f>_xlfn.XLOOKUP(_2026[[#This Row],[Artist]], Table3[Artist], Table3[Rating], "",)</f>
        <v>0</v>
      </c>
      <c r="D174" s="9">
        <f>_xlfn.XLOOKUP(_2026[[#This Row],[Artist]], Table3[Artist], Table3[Notes], "",)</f>
        <v>0</v>
      </c>
      <c r="E174" s="1">
        <v>46207</v>
      </c>
      <c r="F174" s="2">
        <v>0.92708333333333337</v>
      </c>
      <c r="G174" s="2">
        <v>0.96875</v>
      </c>
      <c r="H174" s="9" t="s">
        <v>111</v>
      </c>
      <c r="I174" s="9" t="s">
        <v>439</v>
      </c>
      <c r="J174" s="9" t="s">
        <v>133</v>
      </c>
      <c r="K174" s="9" t="s">
        <v>440</v>
      </c>
      <c r="L174" s="9" t="s">
        <v>441</v>
      </c>
      <c r="M174" s="9" t="s">
        <v>442</v>
      </c>
      <c r="N174" s="9" t="s">
        <v>1395</v>
      </c>
      <c r="O174" s="9" t="s">
        <v>1395</v>
      </c>
      <c r="P174" s="9" t="s">
        <v>443</v>
      </c>
      <c r="Q174">
        <v>7</v>
      </c>
      <c r="R174">
        <v>3</v>
      </c>
      <c r="S174" s="9" t="s">
        <v>67</v>
      </c>
      <c r="T174" s="9" t="s">
        <v>35</v>
      </c>
      <c r="U174" s="9" t="s">
        <v>1395</v>
      </c>
      <c r="V174" s="9" t="s">
        <v>444</v>
      </c>
      <c r="W174" s="9" t="s">
        <v>1478</v>
      </c>
      <c r="X174" s="9" t="s">
        <v>1479</v>
      </c>
      <c r="Y174" s="9" t="s">
        <v>445</v>
      </c>
      <c r="Z174" s="9" t="s">
        <v>38</v>
      </c>
      <c r="AA174" s="1">
        <v>46207</v>
      </c>
    </row>
    <row r="175" spans="1:27" x14ac:dyDescent="0.25">
      <c r="A175" s="9" t="s">
        <v>1336</v>
      </c>
      <c r="B175" s="9" t="s">
        <v>1337</v>
      </c>
      <c r="C175" s="10">
        <f>_xlfn.XLOOKUP(_2026[[#This Row],[Artist]], Table3[Artist], Table3[Rating], "",)</f>
        <v>0</v>
      </c>
      <c r="D175" s="9">
        <f>_xlfn.XLOOKUP(_2026[[#This Row],[Artist]], Table3[Artist], Table3[Notes], "",)</f>
        <v>0</v>
      </c>
      <c r="E175" s="1">
        <v>46206</v>
      </c>
      <c r="F175" s="2">
        <v>0.5</v>
      </c>
      <c r="G175" s="2">
        <v>0.54166666666666663</v>
      </c>
      <c r="H175" s="9" t="s">
        <v>1843</v>
      </c>
      <c r="I175" s="9" t="s">
        <v>886</v>
      </c>
      <c r="J175" s="9" t="s">
        <v>162</v>
      </c>
      <c r="K175" s="9" t="s">
        <v>1744</v>
      </c>
      <c r="L175" s="9" t="s">
        <v>1395</v>
      </c>
      <c r="M175" s="9" t="s">
        <v>432</v>
      </c>
      <c r="N175" s="9" t="s">
        <v>1395</v>
      </c>
      <c r="O175" s="9" t="s">
        <v>1395</v>
      </c>
      <c r="P175" s="9" t="s">
        <v>1395</v>
      </c>
      <c r="S175" s="9" t="s">
        <v>1395</v>
      </c>
      <c r="T175" s="9" t="s">
        <v>1395</v>
      </c>
      <c r="U175" s="9" t="s">
        <v>1395</v>
      </c>
      <c r="V175" s="9" t="s">
        <v>1338</v>
      </c>
      <c r="W175" s="9" t="s">
        <v>1745</v>
      </c>
      <c r="X175" s="9" t="s">
        <v>1746</v>
      </c>
      <c r="Y175" s="9" t="s">
        <v>1339</v>
      </c>
      <c r="Z175" s="9" t="s">
        <v>38</v>
      </c>
      <c r="AA175" s="1">
        <v>46206</v>
      </c>
    </row>
    <row r="176" spans="1:27" x14ac:dyDescent="0.25">
      <c r="A176" s="9" t="s">
        <v>48</v>
      </c>
      <c r="B176" s="9" t="s">
        <v>49</v>
      </c>
      <c r="C176" s="10">
        <f>_xlfn.XLOOKUP(_2026[[#This Row],[Artist]], Table3[Artist], Table3[Rating], "",)</f>
        <v>7</v>
      </c>
      <c r="D176" s="9" t="str">
        <f>_xlfn.XLOOKUP(_2026[[#This Row],[Artist]], Table3[Artist], Table3[Notes], "",)</f>
        <v>Twee punten aftrek vanwege het touren zonder nieuw album.</v>
      </c>
      <c r="E176" s="1">
        <v>46207</v>
      </c>
      <c r="F176" s="2">
        <v>0.97569444444444442</v>
      </c>
      <c r="G176" s="2">
        <v>3.8194444444444448E-2</v>
      </c>
      <c r="H176" s="9" t="s">
        <v>27</v>
      </c>
      <c r="I176" s="9" t="s">
        <v>50</v>
      </c>
      <c r="J176" s="9" t="s">
        <v>29</v>
      </c>
      <c r="K176" s="9" t="s">
        <v>51</v>
      </c>
      <c r="L176" s="9" t="s">
        <v>52</v>
      </c>
      <c r="M176" s="9" t="s">
        <v>53</v>
      </c>
      <c r="N176" s="9" t="s">
        <v>1395</v>
      </c>
      <c r="O176" s="9" t="s">
        <v>1395</v>
      </c>
      <c r="P176" s="9" t="s">
        <v>54</v>
      </c>
      <c r="Q176">
        <v>9</v>
      </c>
      <c r="R176">
        <v>3</v>
      </c>
      <c r="S176" s="9" t="s">
        <v>55</v>
      </c>
      <c r="T176" s="9" t="s">
        <v>35</v>
      </c>
      <c r="U176" s="9" t="s">
        <v>1395</v>
      </c>
      <c r="V176" s="9" t="s">
        <v>56</v>
      </c>
      <c r="W176" s="9" t="s">
        <v>1400</v>
      </c>
      <c r="X176" s="9" t="s">
        <v>57</v>
      </c>
      <c r="Y176" s="9" t="s">
        <v>58</v>
      </c>
      <c r="Z176" s="9" t="s">
        <v>38</v>
      </c>
      <c r="AA176" s="1">
        <v>46208</v>
      </c>
    </row>
    <row r="177" spans="1:27" x14ac:dyDescent="0.25">
      <c r="A177" s="9" t="s">
        <v>247</v>
      </c>
      <c r="B177" s="9" t="s">
        <v>248</v>
      </c>
      <c r="C177" s="10">
        <f>_xlfn.XLOOKUP(_2026[[#This Row],[Artist]], Table3[Artist], Table3[Rating], "",)</f>
        <v>8</v>
      </c>
      <c r="D177" s="9" t="str">
        <f>_xlfn.XLOOKUP(_2026[[#This Row],[Artist]], Table3[Artist], Table3[Notes], "",)</f>
        <v>Yes, it's another retro soul band, but the great Curtis Mayfield-ish vocals, Marvin Gay-ish arrangements, great drums sounds and  nice horn arrangements make me curious to see how they're live.</v>
      </c>
      <c r="E177" s="1">
        <v>46207</v>
      </c>
      <c r="F177" s="2">
        <v>0.55208333333333337</v>
      </c>
      <c r="G177" s="2">
        <v>0.59375</v>
      </c>
      <c r="H177" s="9" t="s">
        <v>27</v>
      </c>
      <c r="I177" s="9" t="s">
        <v>186</v>
      </c>
      <c r="J177" s="9" t="s">
        <v>62</v>
      </c>
      <c r="K177" s="9" t="s">
        <v>249</v>
      </c>
      <c r="L177" s="9" t="s">
        <v>1395</v>
      </c>
      <c r="M177" s="9" t="s">
        <v>250</v>
      </c>
      <c r="N177" s="9" t="s">
        <v>1395</v>
      </c>
      <c r="O177" s="9" t="s">
        <v>1395</v>
      </c>
      <c r="P177" s="9" t="s">
        <v>251</v>
      </c>
      <c r="Q177">
        <v>7</v>
      </c>
      <c r="R177">
        <v>3</v>
      </c>
      <c r="S177" s="9" t="s">
        <v>67</v>
      </c>
      <c r="T177" s="9" t="s">
        <v>38</v>
      </c>
      <c r="U177" s="9" t="s">
        <v>1395</v>
      </c>
      <c r="V177" s="9" t="s">
        <v>252</v>
      </c>
      <c r="W177" s="9" t="s">
        <v>1436</v>
      </c>
      <c r="X177" s="9" t="s">
        <v>1437</v>
      </c>
      <c r="Y177" s="9" t="s">
        <v>253</v>
      </c>
      <c r="Z177" s="9" t="s">
        <v>35</v>
      </c>
      <c r="AA177" s="1">
        <v>46207</v>
      </c>
    </row>
    <row r="178" spans="1:27" x14ac:dyDescent="0.25">
      <c r="A178" s="9" t="s">
        <v>890</v>
      </c>
      <c r="B178" s="9" t="s">
        <v>891</v>
      </c>
      <c r="C178" s="10">
        <f>_xlfn.XLOOKUP(_2026[[#This Row],[Artist]], Table3[Artist], Table3[Rating], "",)</f>
        <v>0</v>
      </c>
      <c r="D178" s="9">
        <f>_xlfn.XLOOKUP(_2026[[#This Row],[Artist]], Table3[Artist], Table3[Notes], "",)</f>
        <v>0</v>
      </c>
      <c r="E178" s="1">
        <v>46207</v>
      </c>
      <c r="F178" s="2">
        <v>0.58333333333333337</v>
      </c>
      <c r="G178" s="2">
        <v>0.64583333333333337</v>
      </c>
      <c r="H178" s="9" t="s">
        <v>743</v>
      </c>
      <c r="I178" s="9" t="s">
        <v>892</v>
      </c>
      <c r="J178" s="9" t="s">
        <v>162</v>
      </c>
      <c r="K178" s="9" t="s">
        <v>1594</v>
      </c>
      <c r="L178" s="9" t="s">
        <v>1395</v>
      </c>
      <c r="M178" s="9" t="s">
        <v>893</v>
      </c>
      <c r="N178" s="9" t="s">
        <v>1395</v>
      </c>
      <c r="O178" s="9" t="s">
        <v>1395</v>
      </c>
      <c r="P178" s="9" t="s">
        <v>1395</v>
      </c>
      <c r="R178">
        <v>1</v>
      </c>
      <c r="S178" s="9" t="s">
        <v>67</v>
      </c>
      <c r="T178" s="9" t="s">
        <v>1395</v>
      </c>
      <c r="U178" s="9" t="s">
        <v>1395</v>
      </c>
      <c r="V178" s="9" t="s">
        <v>894</v>
      </c>
      <c r="W178" s="9" t="s">
        <v>895</v>
      </c>
      <c r="X178" s="9" t="s">
        <v>1595</v>
      </c>
      <c r="Y178" s="9" t="s">
        <v>896</v>
      </c>
      <c r="Z178" s="9" t="s">
        <v>38</v>
      </c>
      <c r="AA178" s="1">
        <v>46207</v>
      </c>
    </row>
    <row r="179" spans="1:27" x14ac:dyDescent="0.25">
      <c r="A179" s="9" t="s">
        <v>1316</v>
      </c>
      <c r="B179" s="9" t="s">
        <v>1317</v>
      </c>
      <c r="C179" s="10">
        <f>_xlfn.XLOOKUP(_2026[[#This Row],[Artist]], Table3[Artist], Table3[Rating], "",)</f>
        <v>0</v>
      </c>
      <c r="D179" s="9">
        <f>_xlfn.XLOOKUP(_2026[[#This Row],[Artist]], Table3[Artist], Table3[Notes], "",)</f>
        <v>0</v>
      </c>
      <c r="E179" s="1">
        <v>46208</v>
      </c>
      <c r="F179" s="2">
        <v>2.0833333333333332E-2</v>
      </c>
      <c r="G179" s="2">
        <v>8.3333333333333329E-2</v>
      </c>
      <c r="H179" s="9" t="s">
        <v>1843</v>
      </c>
      <c r="I179" s="9" t="s">
        <v>1845</v>
      </c>
      <c r="J179" s="9" t="s">
        <v>1846</v>
      </c>
      <c r="K179" s="9" t="s">
        <v>1741</v>
      </c>
      <c r="L179" s="9" t="s">
        <v>1395</v>
      </c>
      <c r="M179" s="9" t="s">
        <v>432</v>
      </c>
      <c r="N179" s="9" t="s">
        <v>1395</v>
      </c>
      <c r="O179" s="9" t="s">
        <v>1395</v>
      </c>
      <c r="P179" s="9" t="s">
        <v>1395</v>
      </c>
      <c r="R179">
        <v>1</v>
      </c>
      <c r="S179" s="9" t="s">
        <v>567</v>
      </c>
      <c r="T179" s="9" t="s">
        <v>1395</v>
      </c>
      <c r="U179" s="9" t="s">
        <v>1395</v>
      </c>
      <c r="V179" s="9" t="s">
        <v>1318</v>
      </c>
      <c r="W179" s="9" t="s">
        <v>1742</v>
      </c>
      <c r="X179" s="9" t="s">
        <v>1743</v>
      </c>
      <c r="Y179" s="9" t="s">
        <v>1319</v>
      </c>
      <c r="Z179" s="9" t="s">
        <v>38</v>
      </c>
      <c r="AA179" s="1">
        <v>46208</v>
      </c>
    </row>
    <row r="180" spans="1:27" x14ac:dyDescent="0.25">
      <c r="A180" s="9" t="s">
        <v>699</v>
      </c>
      <c r="B180" s="9" t="s">
        <v>700</v>
      </c>
      <c r="C180" s="10">
        <f>_xlfn.XLOOKUP(_2026[[#This Row],[Artist]], Table3[Artist], Table3[Rating], "",)</f>
        <v>0</v>
      </c>
      <c r="D180" s="9">
        <f>_xlfn.XLOOKUP(_2026[[#This Row],[Artist]], Table3[Artist], Table3[Notes], "",)</f>
        <v>0</v>
      </c>
      <c r="E180" s="1">
        <v>46206</v>
      </c>
      <c r="F180" s="2">
        <v>0.88541666666666663</v>
      </c>
      <c r="G180" s="2">
        <v>0.9375</v>
      </c>
      <c r="H180" s="9" t="s">
        <v>547</v>
      </c>
      <c r="I180" s="9" t="s">
        <v>701</v>
      </c>
      <c r="J180" s="9" t="s">
        <v>162</v>
      </c>
      <c r="K180" s="9" t="s">
        <v>1530</v>
      </c>
      <c r="L180" s="9" t="s">
        <v>1395</v>
      </c>
      <c r="M180" s="9" t="s">
        <v>681</v>
      </c>
      <c r="N180" s="9" t="s">
        <v>1395</v>
      </c>
      <c r="O180" s="9" t="s">
        <v>1395</v>
      </c>
      <c r="P180" s="9" t="s">
        <v>1395</v>
      </c>
      <c r="R180">
        <v>1</v>
      </c>
      <c r="S180" s="9" t="s">
        <v>67</v>
      </c>
      <c r="T180" s="9" t="s">
        <v>1395</v>
      </c>
      <c r="U180" s="9" t="s">
        <v>1395</v>
      </c>
      <c r="V180" s="9" t="s">
        <v>702</v>
      </c>
      <c r="W180" s="9" t="s">
        <v>1531</v>
      </c>
      <c r="X180" s="9" t="s">
        <v>1532</v>
      </c>
      <c r="Y180" s="9" t="s">
        <v>703</v>
      </c>
      <c r="Z180" s="9" t="s">
        <v>38</v>
      </c>
      <c r="AA180" s="1">
        <v>46206</v>
      </c>
    </row>
    <row r="181" spans="1:27" x14ac:dyDescent="0.25">
      <c r="A181" s="9" t="s">
        <v>265</v>
      </c>
      <c r="B181" s="9" t="s">
        <v>266</v>
      </c>
      <c r="C181" s="10">
        <f>_xlfn.XLOOKUP(_2026[[#This Row],[Artist]], Table3[Artist], Table3[Rating], "",)</f>
        <v>8</v>
      </c>
      <c r="D181" s="9" t="str">
        <f>_xlfn.XLOOKUP(_2026[[#This Row],[Artist]], Table3[Artist], Table3[Notes], "",)</f>
        <v>Ik vind de plaat leuk (en hem 'm op vinyl).</v>
      </c>
      <c r="E181" s="1">
        <v>46206</v>
      </c>
      <c r="F181" s="2">
        <v>0.85416666666666663</v>
      </c>
      <c r="G181" s="2">
        <v>0.89583333333333337</v>
      </c>
      <c r="H181" s="9" t="s">
        <v>100</v>
      </c>
      <c r="I181" s="9" t="s">
        <v>205</v>
      </c>
      <c r="J181" s="9" t="s">
        <v>267</v>
      </c>
      <c r="K181" s="9" t="s">
        <v>1441</v>
      </c>
      <c r="L181" s="9" t="s">
        <v>268</v>
      </c>
      <c r="M181" s="9" t="s">
        <v>269</v>
      </c>
      <c r="N181" s="9" t="s">
        <v>1395</v>
      </c>
      <c r="O181" s="9" t="s">
        <v>1395</v>
      </c>
      <c r="P181" s="9" t="s">
        <v>270</v>
      </c>
      <c r="Q181">
        <v>7</v>
      </c>
      <c r="R181">
        <v>2</v>
      </c>
      <c r="S181" s="9" t="s">
        <v>55</v>
      </c>
      <c r="T181" s="9" t="s">
        <v>35</v>
      </c>
      <c r="U181" s="9" t="s">
        <v>1395</v>
      </c>
      <c r="V181" s="9" t="s">
        <v>271</v>
      </c>
      <c r="W181" s="9" t="s">
        <v>1442</v>
      </c>
      <c r="X181" s="9" t="s">
        <v>1443</v>
      </c>
      <c r="Y181" s="9" t="s">
        <v>272</v>
      </c>
      <c r="Z181" s="9" t="s">
        <v>38</v>
      </c>
      <c r="AA181" s="1">
        <v>46206</v>
      </c>
    </row>
    <row r="182" spans="1:27" x14ac:dyDescent="0.25">
      <c r="A182" s="9" t="s">
        <v>1049</v>
      </c>
      <c r="B182" s="9" t="s">
        <v>1050</v>
      </c>
      <c r="C182" s="10">
        <f>_xlfn.XLOOKUP(_2026[[#This Row],[Artist]], Table3[Artist], Table3[Rating], "",)</f>
        <v>0</v>
      </c>
      <c r="D182" s="9">
        <f>_xlfn.XLOOKUP(_2026[[#This Row],[Artist]], Table3[Artist], Table3[Notes], "",)</f>
        <v>0</v>
      </c>
      <c r="E182" s="1">
        <v>46208</v>
      </c>
      <c r="F182" s="2">
        <v>0.875</v>
      </c>
      <c r="G182" s="2">
        <v>0.95833333333333337</v>
      </c>
      <c r="H182" s="9" t="s">
        <v>923</v>
      </c>
      <c r="I182" s="9" t="s">
        <v>1051</v>
      </c>
      <c r="J182" s="9" t="s">
        <v>162</v>
      </c>
      <c r="K182" s="9" t="s">
        <v>1637</v>
      </c>
      <c r="L182" s="9" t="s">
        <v>1395</v>
      </c>
      <c r="M182" s="9" t="s">
        <v>1052</v>
      </c>
      <c r="N182" s="9" t="s">
        <v>1395</v>
      </c>
      <c r="O182" s="9" t="s">
        <v>1395</v>
      </c>
      <c r="P182" s="9" t="s">
        <v>1395</v>
      </c>
      <c r="R182">
        <v>1</v>
      </c>
      <c r="S182" s="9" t="s">
        <v>67</v>
      </c>
      <c r="T182" s="9" t="s">
        <v>1395</v>
      </c>
      <c r="U182" s="9" t="s">
        <v>1395</v>
      </c>
      <c r="V182" s="9" t="s">
        <v>1053</v>
      </c>
      <c r="W182" s="9" t="s">
        <v>1638</v>
      </c>
      <c r="X182" s="9" t="s">
        <v>1639</v>
      </c>
      <c r="Y182" s="9" t="s">
        <v>1054</v>
      </c>
      <c r="Z182" s="9" t="s">
        <v>38</v>
      </c>
      <c r="AA182" s="1">
        <v>46208</v>
      </c>
    </row>
    <row r="183" spans="1:27" x14ac:dyDescent="0.25">
      <c r="A183" s="9" t="s">
        <v>897</v>
      </c>
      <c r="B183" s="9" t="s">
        <v>898</v>
      </c>
      <c r="C183" s="10">
        <f>_xlfn.XLOOKUP(_2026[[#This Row],[Artist]], Table3[Artist], Table3[Rating], "",)</f>
        <v>0</v>
      </c>
      <c r="D183" s="9">
        <f>_xlfn.XLOOKUP(_2026[[#This Row],[Artist]], Table3[Artist], Table3[Notes], "",)</f>
        <v>0</v>
      </c>
      <c r="E183" s="1">
        <v>46208</v>
      </c>
      <c r="F183" s="2">
        <v>2.0833333333333332E-2</v>
      </c>
      <c r="G183" s="2">
        <v>8.3333333333333329E-2</v>
      </c>
      <c r="H183" s="9" t="s">
        <v>743</v>
      </c>
      <c r="I183" s="9" t="s">
        <v>1395</v>
      </c>
      <c r="J183" s="9" t="s">
        <v>458</v>
      </c>
      <c r="K183" s="9" t="s">
        <v>1596</v>
      </c>
      <c r="L183" s="9" t="s">
        <v>1395</v>
      </c>
      <c r="M183" s="9" t="s">
        <v>432</v>
      </c>
      <c r="N183" s="9" t="s">
        <v>1395</v>
      </c>
      <c r="O183" s="9" t="s">
        <v>1395</v>
      </c>
      <c r="P183" s="9" t="s">
        <v>1395</v>
      </c>
      <c r="S183" s="9" t="s">
        <v>34</v>
      </c>
      <c r="T183" s="9" t="s">
        <v>38</v>
      </c>
      <c r="U183" s="9" t="s">
        <v>1395</v>
      </c>
      <c r="V183" s="9" t="s">
        <v>899</v>
      </c>
      <c r="W183" s="9" t="s">
        <v>1597</v>
      </c>
      <c r="X183" s="9" t="s">
        <v>1598</v>
      </c>
      <c r="Y183" s="9" t="s">
        <v>900</v>
      </c>
      <c r="Z183" s="9" t="s">
        <v>38</v>
      </c>
      <c r="AA183" s="1">
        <v>46208</v>
      </c>
    </row>
    <row r="184" spans="1:27" x14ac:dyDescent="0.25">
      <c r="A184" s="9" t="s">
        <v>1320</v>
      </c>
      <c r="B184" s="9" t="s">
        <v>1321</v>
      </c>
      <c r="C184" s="10">
        <f>_xlfn.XLOOKUP(_2026[[#This Row],[Artist]], Table3[Artist], Table3[Rating], "",)</f>
        <v>0</v>
      </c>
      <c r="D184" s="9">
        <f>_xlfn.XLOOKUP(_2026[[#This Row],[Artist]], Table3[Artist], Table3[Notes], "",)</f>
        <v>0</v>
      </c>
      <c r="E184" s="1">
        <v>46209</v>
      </c>
      <c r="F184" s="2">
        <v>7.2916666666666671E-2</v>
      </c>
      <c r="G184" s="2">
        <v>0.125</v>
      </c>
      <c r="H184" s="9" t="s">
        <v>1843</v>
      </c>
      <c r="I184" s="9" t="s">
        <v>1322</v>
      </c>
      <c r="J184" s="9" t="s">
        <v>162</v>
      </c>
      <c r="K184" s="9" t="s">
        <v>1323</v>
      </c>
      <c r="L184" s="9" t="s">
        <v>1395</v>
      </c>
      <c r="M184" s="9" t="s">
        <v>1324</v>
      </c>
      <c r="N184" s="9" t="s">
        <v>1395</v>
      </c>
      <c r="O184" s="9" t="s">
        <v>1395</v>
      </c>
      <c r="P184" s="9" t="s">
        <v>1395</v>
      </c>
      <c r="R184">
        <v>1</v>
      </c>
      <c r="S184" s="9" t="s">
        <v>34</v>
      </c>
      <c r="T184" s="9" t="s">
        <v>38</v>
      </c>
      <c r="U184" s="9" t="s">
        <v>1395</v>
      </c>
      <c r="V184" s="9" t="s">
        <v>1325</v>
      </c>
      <c r="W184" s="9" t="s">
        <v>1326</v>
      </c>
      <c r="X184" s="9" t="s">
        <v>1327</v>
      </c>
      <c r="Y184" s="9" t="s">
        <v>1328</v>
      </c>
      <c r="Z184" s="9" t="s">
        <v>38</v>
      </c>
      <c r="AA184" s="1">
        <v>46209</v>
      </c>
    </row>
    <row r="185" spans="1:27" x14ac:dyDescent="0.25">
      <c r="A185" s="9" t="s">
        <v>526</v>
      </c>
      <c r="B185" s="9" t="s">
        <v>527</v>
      </c>
      <c r="C185" s="10">
        <f>_xlfn.XLOOKUP(_2026[[#This Row],[Artist]], Table3[Artist], Table3[Rating], "",)</f>
        <v>0</v>
      </c>
      <c r="D185" s="9">
        <f>_xlfn.XLOOKUP(_2026[[#This Row],[Artist]], Table3[Artist], Table3[Notes], "",)</f>
        <v>0</v>
      </c>
      <c r="E185" s="1">
        <v>46207</v>
      </c>
      <c r="F185" s="2">
        <v>2.0833333333333332E-2</v>
      </c>
      <c r="G185" s="2">
        <v>8.3333333333333329E-2</v>
      </c>
      <c r="H185" s="9" t="s">
        <v>111</v>
      </c>
      <c r="I185" s="9" t="s">
        <v>528</v>
      </c>
      <c r="J185" s="9" t="s">
        <v>29</v>
      </c>
      <c r="K185" s="9" t="s">
        <v>529</v>
      </c>
      <c r="L185" s="9" t="s">
        <v>1395</v>
      </c>
      <c r="M185" s="9" t="s">
        <v>530</v>
      </c>
      <c r="N185" s="9" t="s">
        <v>1395</v>
      </c>
      <c r="O185" s="9" t="s">
        <v>1395</v>
      </c>
      <c r="P185" s="9" t="s">
        <v>531</v>
      </c>
      <c r="Q185">
        <v>7</v>
      </c>
      <c r="R185">
        <v>2</v>
      </c>
      <c r="S185" s="9" t="s">
        <v>55</v>
      </c>
      <c r="T185" s="9" t="s">
        <v>1395</v>
      </c>
      <c r="U185" s="9" t="s">
        <v>1395</v>
      </c>
      <c r="V185" s="9" t="s">
        <v>532</v>
      </c>
      <c r="W185" s="9" t="s">
        <v>1491</v>
      </c>
      <c r="X185" s="9" t="s">
        <v>533</v>
      </c>
      <c r="Y185" s="9" t="s">
        <v>534</v>
      </c>
      <c r="Z185" s="9" t="s">
        <v>38</v>
      </c>
      <c r="AA185" s="1">
        <v>46207</v>
      </c>
    </row>
    <row r="186" spans="1:27" x14ac:dyDescent="0.25">
      <c r="A186" s="9" t="s">
        <v>704</v>
      </c>
      <c r="B186" s="9" t="s">
        <v>705</v>
      </c>
      <c r="C186" s="10">
        <f>_xlfn.XLOOKUP(_2026[[#This Row],[Artist]], Table3[Artist], Table3[Rating], "",)</f>
        <v>0</v>
      </c>
      <c r="D186" s="9">
        <f>_xlfn.XLOOKUP(_2026[[#This Row],[Artist]], Table3[Artist], Table3[Notes], "",)</f>
        <v>0</v>
      </c>
      <c r="E186" s="1">
        <v>46208</v>
      </c>
      <c r="F186" s="2">
        <v>0.10416666666666667</v>
      </c>
      <c r="G186" s="2">
        <v>0.1875</v>
      </c>
      <c r="H186" s="9" t="s">
        <v>547</v>
      </c>
      <c r="I186" s="9" t="s">
        <v>706</v>
      </c>
      <c r="J186" s="9" t="s">
        <v>1395</v>
      </c>
      <c r="K186" s="9" t="s">
        <v>1533</v>
      </c>
      <c r="L186" s="9" t="s">
        <v>1395</v>
      </c>
      <c r="M186" s="9" t="s">
        <v>707</v>
      </c>
      <c r="N186" s="9" t="s">
        <v>1395</v>
      </c>
      <c r="O186" s="9" t="s">
        <v>1395</v>
      </c>
      <c r="P186" s="9" t="s">
        <v>1395</v>
      </c>
      <c r="R186">
        <v>2</v>
      </c>
      <c r="S186" s="9" t="s">
        <v>1395</v>
      </c>
      <c r="T186" s="9" t="s">
        <v>1395</v>
      </c>
      <c r="U186" s="9" t="s">
        <v>1395</v>
      </c>
      <c r="V186" s="9" t="s">
        <v>708</v>
      </c>
      <c r="W186" s="9" t="s">
        <v>1534</v>
      </c>
      <c r="X186" s="9" t="s">
        <v>1535</v>
      </c>
      <c r="Y186" s="9" t="s">
        <v>709</v>
      </c>
      <c r="Z186" s="9" t="s">
        <v>38</v>
      </c>
      <c r="AA186" s="1">
        <v>46208</v>
      </c>
    </row>
    <row r="187" spans="1:27" x14ac:dyDescent="0.25">
      <c r="A187" s="9" t="s">
        <v>1387</v>
      </c>
      <c r="B187" s="9" t="s">
        <v>1388</v>
      </c>
      <c r="C187" s="10">
        <f>_xlfn.XLOOKUP(_2026[[#This Row],[Artist]], Table3[Artist], Table3[Rating], "",)</f>
        <v>0</v>
      </c>
      <c r="D187" s="9">
        <f>_xlfn.XLOOKUP(_2026[[#This Row],[Artist]], Table3[Artist], Table3[Notes], "",)</f>
        <v>0</v>
      </c>
      <c r="E187" s="1"/>
      <c r="F187" s="2"/>
      <c r="G187" s="2"/>
      <c r="H187" s="9" t="s">
        <v>1395</v>
      </c>
      <c r="I187" s="9" t="s">
        <v>1395</v>
      </c>
      <c r="J187" s="9" t="s">
        <v>1395</v>
      </c>
      <c r="K187" s="9" t="s">
        <v>1769</v>
      </c>
      <c r="L187" s="9" t="s">
        <v>1395</v>
      </c>
      <c r="M187" s="9" t="s">
        <v>432</v>
      </c>
      <c r="N187" s="9" t="s">
        <v>1395</v>
      </c>
      <c r="O187" s="9" t="s">
        <v>1395</v>
      </c>
      <c r="P187" s="9" t="s">
        <v>1395</v>
      </c>
      <c r="S187" s="9" t="s">
        <v>1395</v>
      </c>
      <c r="T187" s="9" t="s">
        <v>1395</v>
      </c>
      <c r="U187" s="9" t="s">
        <v>1395</v>
      </c>
      <c r="V187" s="9" t="s">
        <v>1389</v>
      </c>
      <c r="W187" s="9" t="s">
        <v>1770</v>
      </c>
      <c r="X187" s="9" t="s">
        <v>1771</v>
      </c>
      <c r="Y187" s="9" t="s">
        <v>1395</v>
      </c>
      <c r="Z187" s="9" t="s">
        <v>38</v>
      </c>
      <c r="AA187" s="1"/>
    </row>
    <row r="188" spans="1:27" x14ac:dyDescent="0.25">
      <c r="A188" s="9" t="s">
        <v>1130</v>
      </c>
      <c r="B188" s="9" t="s">
        <v>1131</v>
      </c>
      <c r="C188" s="10">
        <f>_xlfn.XLOOKUP(_2026[[#This Row],[Artist]], Table3[Artist], Table3[Rating], "",)</f>
        <v>0</v>
      </c>
      <c r="D188" s="9">
        <f>_xlfn.XLOOKUP(_2026[[#This Row],[Artist]], Table3[Artist], Table3[Notes], "",)</f>
        <v>0</v>
      </c>
      <c r="E188" s="1">
        <v>46208</v>
      </c>
      <c r="F188" s="2">
        <v>0.82291666666666663</v>
      </c>
      <c r="G188" s="2">
        <v>0.85416666666666663</v>
      </c>
      <c r="H188" s="9" t="s">
        <v>1062</v>
      </c>
      <c r="I188" s="9" t="s">
        <v>1069</v>
      </c>
      <c r="J188" s="9" t="s">
        <v>162</v>
      </c>
      <c r="K188" s="9" t="s">
        <v>1132</v>
      </c>
      <c r="L188" s="9" t="s">
        <v>1395</v>
      </c>
      <c r="M188" s="9" t="s">
        <v>1133</v>
      </c>
      <c r="N188" s="9" t="s">
        <v>1395</v>
      </c>
      <c r="O188" s="9" t="s">
        <v>1395</v>
      </c>
      <c r="P188" s="9" t="s">
        <v>1395</v>
      </c>
      <c r="R188">
        <v>3</v>
      </c>
      <c r="S188" s="9" t="s">
        <v>567</v>
      </c>
      <c r="T188" s="9" t="s">
        <v>1395</v>
      </c>
      <c r="U188" s="9" t="s">
        <v>1395</v>
      </c>
      <c r="V188" s="9" t="s">
        <v>1134</v>
      </c>
      <c r="W188" s="9" t="s">
        <v>1671</v>
      </c>
      <c r="X188" s="9" t="s">
        <v>1135</v>
      </c>
      <c r="Y188" s="9" t="s">
        <v>1136</v>
      </c>
      <c r="Z188" s="9" t="s">
        <v>38</v>
      </c>
      <c r="AA188" s="1">
        <v>46208</v>
      </c>
    </row>
    <row r="189" spans="1:27" x14ac:dyDescent="0.25">
      <c r="A189" s="9" t="s">
        <v>710</v>
      </c>
      <c r="B189" s="9" t="s">
        <v>711</v>
      </c>
      <c r="C189" s="10">
        <f>_xlfn.XLOOKUP(_2026[[#This Row],[Artist]], Table3[Artist], Table3[Rating], "",)</f>
        <v>0</v>
      </c>
      <c r="D189" s="9">
        <f>_xlfn.XLOOKUP(_2026[[#This Row],[Artist]], Table3[Artist], Table3[Notes], "",)</f>
        <v>0</v>
      </c>
      <c r="E189" s="1">
        <v>46206</v>
      </c>
      <c r="F189" s="2">
        <v>0.5</v>
      </c>
      <c r="G189" s="2">
        <v>0.58333333333333337</v>
      </c>
      <c r="H189" s="9" t="s">
        <v>547</v>
      </c>
      <c r="I189" s="9" t="s">
        <v>1395</v>
      </c>
      <c r="J189" s="9" t="s">
        <v>162</v>
      </c>
      <c r="K189" s="9" t="s">
        <v>712</v>
      </c>
      <c r="L189" s="9" t="s">
        <v>1395</v>
      </c>
      <c r="M189" s="9" t="s">
        <v>432</v>
      </c>
      <c r="N189" s="9" t="s">
        <v>1395</v>
      </c>
      <c r="O189" s="9" t="s">
        <v>1395</v>
      </c>
      <c r="P189" s="9" t="s">
        <v>1395</v>
      </c>
      <c r="R189">
        <v>1</v>
      </c>
      <c r="S189" s="9" t="s">
        <v>67</v>
      </c>
      <c r="T189" s="9" t="s">
        <v>1395</v>
      </c>
      <c r="U189" s="9" t="s">
        <v>1395</v>
      </c>
      <c r="V189" s="9" t="s">
        <v>713</v>
      </c>
      <c r="W189" s="9" t="s">
        <v>714</v>
      </c>
      <c r="X189" s="9" t="s">
        <v>715</v>
      </c>
      <c r="Y189" s="9" t="s">
        <v>716</v>
      </c>
      <c r="Z189" s="9" t="s">
        <v>38</v>
      </c>
      <c r="AA189" s="1">
        <v>46206</v>
      </c>
    </row>
    <row r="190" spans="1:27" x14ac:dyDescent="0.25">
      <c r="A190" s="9" t="s">
        <v>717</v>
      </c>
      <c r="B190" s="9" t="s">
        <v>718</v>
      </c>
      <c r="C190" s="10">
        <f>_xlfn.XLOOKUP(_2026[[#This Row],[Artist]], Table3[Artist], Table3[Rating], "",)</f>
        <v>0</v>
      </c>
      <c r="D190" s="9">
        <f>_xlfn.XLOOKUP(_2026[[#This Row],[Artist]], Table3[Artist], Table3[Notes], "",)</f>
        <v>0</v>
      </c>
      <c r="E190" s="1">
        <v>46207</v>
      </c>
      <c r="F190" s="2">
        <v>0.70833333333333337</v>
      </c>
      <c r="G190" s="2">
        <v>0.79166666666666663</v>
      </c>
      <c r="H190" s="9" t="s">
        <v>547</v>
      </c>
      <c r="I190" s="9" t="s">
        <v>675</v>
      </c>
      <c r="J190" s="9" t="s">
        <v>29</v>
      </c>
      <c r="K190" s="9" t="s">
        <v>719</v>
      </c>
      <c r="L190" s="9" t="s">
        <v>1395</v>
      </c>
      <c r="M190" s="9" t="s">
        <v>720</v>
      </c>
      <c r="N190" s="9" t="s">
        <v>1395</v>
      </c>
      <c r="O190" s="9" t="s">
        <v>1395</v>
      </c>
      <c r="P190" s="9" t="s">
        <v>721</v>
      </c>
      <c r="Q190">
        <v>8</v>
      </c>
      <c r="S190" s="9" t="s">
        <v>67</v>
      </c>
      <c r="T190" s="9" t="s">
        <v>35</v>
      </c>
      <c r="U190" s="9" t="s">
        <v>1395</v>
      </c>
      <c r="V190" s="9" t="s">
        <v>722</v>
      </c>
      <c r="W190" s="9" t="s">
        <v>1536</v>
      </c>
      <c r="X190" s="9" t="s">
        <v>1537</v>
      </c>
      <c r="Y190" s="9" t="s">
        <v>723</v>
      </c>
      <c r="Z190" s="9" t="s">
        <v>38</v>
      </c>
      <c r="AA190" s="1">
        <v>46207</v>
      </c>
    </row>
    <row r="191" spans="1:27" x14ac:dyDescent="0.25">
      <c r="A191" s="9" t="s">
        <v>724</v>
      </c>
      <c r="B191" s="9" t="s">
        <v>725</v>
      </c>
      <c r="C191" s="10">
        <f>_xlfn.XLOOKUP(_2026[[#This Row],[Artist]], Table3[Artist], Table3[Rating], "",)</f>
        <v>0</v>
      </c>
      <c r="D191" s="9">
        <f>_xlfn.XLOOKUP(_2026[[#This Row],[Artist]], Table3[Artist], Table3[Notes], "",)</f>
        <v>0</v>
      </c>
      <c r="E191" s="1">
        <v>46207</v>
      </c>
      <c r="F191" s="2">
        <v>0.79166666666666663</v>
      </c>
      <c r="G191" s="2">
        <v>0.88541666666666663</v>
      </c>
      <c r="H191" s="9" t="s">
        <v>547</v>
      </c>
      <c r="I191" s="9" t="s">
        <v>1824</v>
      </c>
      <c r="J191" s="9" t="s">
        <v>726</v>
      </c>
      <c r="K191" s="9" t="s">
        <v>1538</v>
      </c>
      <c r="L191" s="9" t="s">
        <v>1395</v>
      </c>
      <c r="M191" s="9" t="s">
        <v>432</v>
      </c>
      <c r="N191" s="9" t="s">
        <v>1395</v>
      </c>
      <c r="O191" s="9" t="s">
        <v>1395</v>
      </c>
      <c r="P191" s="9" t="s">
        <v>1395</v>
      </c>
      <c r="R191">
        <v>1</v>
      </c>
      <c r="S191" s="9" t="s">
        <v>34</v>
      </c>
      <c r="T191" s="9" t="s">
        <v>1395</v>
      </c>
      <c r="U191" s="9" t="s">
        <v>1395</v>
      </c>
      <c r="V191" s="9" t="s">
        <v>727</v>
      </c>
      <c r="W191" s="9" t="s">
        <v>728</v>
      </c>
      <c r="X191" s="9" t="s">
        <v>1539</v>
      </c>
      <c r="Y191" s="9" t="s">
        <v>729</v>
      </c>
      <c r="Z191" s="9" t="s">
        <v>38</v>
      </c>
      <c r="AA191" s="1">
        <v>46207</v>
      </c>
    </row>
    <row r="192" spans="1:27" x14ac:dyDescent="0.25">
      <c r="A192" s="9" t="s">
        <v>1055</v>
      </c>
      <c r="B192" s="9" t="s">
        <v>1056</v>
      </c>
      <c r="C192" s="10">
        <f>_xlfn.XLOOKUP(_2026[[#This Row],[Artist]], Table3[Artist], Table3[Rating], "",)</f>
        <v>0</v>
      </c>
      <c r="D192" s="9">
        <f>_xlfn.XLOOKUP(_2026[[#This Row],[Artist]], Table3[Artist], Table3[Notes], "",)</f>
        <v>0</v>
      </c>
      <c r="E192" s="1">
        <v>46208</v>
      </c>
      <c r="F192" s="2">
        <v>0.70833333333333337</v>
      </c>
      <c r="G192" s="2">
        <v>0.75</v>
      </c>
      <c r="H192" s="9" t="s">
        <v>923</v>
      </c>
      <c r="I192" s="9" t="s">
        <v>1395</v>
      </c>
      <c r="J192" s="9" t="s">
        <v>62</v>
      </c>
      <c r="K192" s="9" t="s">
        <v>1640</v>
      </c>
      <c r="L192" s="9" t="s">
        <v>1395</v>
      </c>
      <c r="M192" s="9" t="s">
        <v>1057</v>
      </c>
      <c r="N192" s="9" t="s">
        <v>1395</v>
      </c>
      <c r="O192" s="9" t="s">
        <v>1395</v>
      </c>
      <c r="P192" s="9" t="s">
        <v>1395</v>
      </c>
      <c r="S192" s="9" t="s">
        <v>1395</v>
      </c>
      <c r="T192" s="9" t="s">
        <v>1395</v>
      </c>
      <c r="U192" s="9" t="s">
        <v>1395</v>
      </c>
      <c r="V192" s="9" t="s">
        <v>1058</v>
      </c>
      <c r="W192" s="9" t="s">
        <v>1641</v>
      </c>
      <c r="X192" s="9" t="s">
        <v>1642</v>
      </c>
      <c r="Y192" s="9" t="s">
        <v>1059</v>
      </c>
      <c r="Z192" s="9" t="s">
        <v>38</v>
      </c>
      <c r="AA192" s="1">
        <v>46208</v>
      </c>
    </row>
    <row r="193" spans="1:27" x14ac:dyDescent="0.25">
      <c r="A193" s="9" t="s">
        <v>535</v>
      </c>
      <c r="B193" s="9" t="s">
        <v>536</v>
      </c>
      <c r="C193" s="10">
        <f>_xlfn.XLOOKUP(_2026[[#This Row],[Artist]], Table3[Artist], Table3[Rating], "",)</f>
        <v>0</v>
      </c>
      <c r="D193" s="9">
        <f>_xlfn.XLOOKUP(_2026[[#This Row],[Artist]], Table3[Artist], Table3[Notes], "",)</f>
        <v>0</v>
      </c>
      <c r="E193" s="1">
        <v>46207</v>
      </c>
      <c r="F193" s="2">
        <v>0.76041666666666663</v>
      </c>
      <c r="G193" s="2">
        <v>0.80208333333333337</v>
      </c>
      <c r="H193" s="9" t="s">
        <v>111</v>
      </c>
      <c r="I193" s="9" t="s">
        <v>537</v>
      </c>
      <c r="J193" s="9" t="s">
        <v>29</v>
      </c>
      <c r="K193" s="9" t="s">
        <v>538</v>
      </c>
      <c r="L193" s="9" t="s">
        <v>539</v>
      </c>
      <c r="M193" s="9" t="s">
        <v>540</v>
      </c>
      <c r="N193" s="9" t="s">
        <v>1395</v>
      </c>
      <c r="O193" s="9" t="s">
        <v>1395</v>
      </c>
      <c r="P193" s="9" t="s">
        <v>541</v>
      </c>
      <c r="Q193">
        <v>6</v>
      </c>
      <c r="R193">
        <v>4</v>
      </c>
      <c r="S193" s="9" t="s">
        <v>1395</v>
      </c>
      <c r="T193" s="9" t="s">
        <v>1395</v>
      </c>
      <c r="U193" s="9" t="s">
        <v>1395</v>
      </c>
      <c r="V193" s="9" t="s">
        <v>542</v>
      </c>
      <c r="W193" s="9" t="s">
        <v>543</v>
      </c>
      <c r="X193" s="9" t="s">
        <v>1492</v>
      </c>
      <c r="Y193" s="9" t="s">
        <v>544</v>
      </c>
      <c r="Z193" s="9" t="s">
        <v>38</v>
      </c>
      <c r="AA193" s="1">
        <v>46207</v>
      </c>
    </row>
    <row r="194" spans="1:27" x14ac:dyDescent="0.25">
      <c r="A194" s="9" t="s">
        <v>1383</v>
      </c>
      <c r="B194" s="9" t="s">
        <v>1384</v>
      </c>
      <c r="C194" s="10">
        <f>_xlfn.XLOOKUP(_2026[[#This Row],[Artist]], Table3[Artist], Table3[Rating], "",)</f>
        <v>0</v>
      </c>
      <c r="D194" s="9">
        <f>_xlfn.XLOOKUP(_2026[[#This Row],[Artist]], Table3[Artist], Table3[Notes], "",)</f>
        <v>0</v>
      </c>
      <c r="E194" s="1">
        <v>46206</v>
      </c>
      <c r="F194" s="2">
        <v>0.41666666666666669</v>
      </c>
      <c r="G194" s="2">
        <v>0.54166666666666663</v>
      </c>
      <c r="H194" s="9" t="s">
        <v>1395</v>
      </c>
      <c r="I194" s="9" t="s">
        <v>1395</v>
      </c>
      <c r="J194" s="9" t="s">
        <v>162</v>
      </c>
      <c r="K194" s="9" t="s">
        <v>1767</v>
      </c>
      <c r="L194" s="9" t="s">
        <v>1395</v>
      </c>
      <c r="M194" s="9" t="s">
        <v>432</v>
      </c>
      <c r="N194" s="9" t="s">
        <v>1395</v>
      </c>
      <c r="O194" s="9" t="s">
        <v>1395</v>
      </c>
      <c r="P194" s="9" t="s">
        <v>1395</v>
      </c>
      <c r="S194" s="9" t="s">
        <v>1395</v>
      </c>
      <c r="T194" s="9" t="s">
        <v>1395</v>
      </c>
      <c r="U194" s="9" t="s">
        <v>1395</v>
      </c>
      <c r="V194" s="9" t="s">
        <v>1385</v>
      </c>
      <c r="W194" s="9" t="s">
        <v>1386</v>
      </c>
      <c r="X194" s="9" t="s">
        <v>1768</v>
      </c>
      <c r="Y194" s="9" t="s">
        <v>1395</v>
      </c>
      <c r="Z194" s="9" t="s">
        <v>38</v>
      </c>
      <c r="AA194" s="1">
        <v>46206</v>
      </c>
    </row>
    <row r="195" spans="1:27" x14ac:dyDescent="0.25">
      <c r="A195" s="9" t="s">
        <v>1329</v>
      </c>
      <c r="B195" s="9" t="s">
        <v>1330</v>
      </c>
      <c r="C195" s="10">
        <f>_xlfn.XLOOKUP(_2026[[#This Row],[Artist]], Table3[Artist], Table3[Rating], "",)</f>
        <v>0</v>
      </c>
      <c r="D195" s="9">
        <f>_xlfn.XLOOKUP(_2026[[#This Row],[Artist]], Table3[Artist], Table3[Notes], "",)</f>
        <v>0</v>
      </c>
      <c r="E195" s="1">
        <v>46207</v>
      </c>
      <c r="F195" s="2">
        <v>2.0833333333333332E-2</v>
      </c>
      <c r="G195" s="2">
        <v>0.125</v>
      </c>
      <c r="H195" s="9" t="s">
        <v>1843</v>
      </c>
      <c r="I195" s="9" t="s">
        <v>1847</v>
      </c>
      <c r="J195" s="9" t="s">
        <v>162</v>
      </c>
      <c r="K195" s="9" t="s">
        <v>1331</v>
      </c>
      <c r="L195" s="9" t="s">
        <v>1395</v>
      </c>
      <c r="M195" s="9" t="s">
        <v>432</v>
      </c>
      <c r="N195" s="9" t="s">
        <v>1395</v>
      </c>
      <c r="O195" s="9" t="s">
        <v>1395</v>
      </c>
      <c r="P195" s="9" t="s">
        <v>1395</v>
      </c>
      <c r="R195">
        <v>1</v>
      </c>
      <c r="S195" s="9" t="s">
        <v>1395</v>
      </c>
      <c r="T195" s="9" t="s">
        <v>1395</v>
      </c>
      <c r="U195" s="9" t="s">
        <v>1395</v>
      </c>
      <c r="V195" s="9" t="s">
        <v>1332</v>
      </c>
      <c r="W195" s="9" t="s">
        <v>1333</v>
      </c>
      <c r="X195" s="9" t="s">
        <v>1334</v>
      </c>
      <c r="Y195" s="9" t="s">
        <v>1335</v>
      </c>
      <c r="Z195" s="9" t="s">
        <v>38</v>
      </c>
      <c r="AA195" s="1">
        <v>46207</v>
      </c>
    </row>
    <row r="196" spans="1:27" x14ac:dyDescent="0.25">
      <c r="A196" s="9" t="s">
        <v>901</v>
      </c>
      <c r="B196" s="9" t="s">
        <v>902</v>
      </c>
      <c r="C196" s="10">
        <f>_xlfn.XLOOKUP(_2026[[#This Row],[Artist]], Table3[Artist], Table3[Rating], "",)</f>
        <v>0</v>
      </c>
      <c r="D196" s="9">
        <f>_xlfn.XLOOKUP(_2026[[#This Row],[Artist]], Table3[Artist], Table3[Notes], "",)</f>
        <v>0</v>
      </c>
      <c r="E196" s="1">
        <v>46209</v>
      </c>
      <c r="F196" s="2">
        <v>6.25E-2</v>
      </c>
      <c r="G196" s="2">
        <v>0.125</v>
      </c>
      <c r="H196" s="9" t="s">
        <v>743</v>
      </c>
      <c r="I196" s="9" t="s">
        <v>1835</v>
      </c>
      <c r="J196" s="9" t="s">
        <v>162</v>
      </c>
      <c r="K196" s="9" t="s">
        <v>1599</v>
      </c>
      <c r="L196" s="9" t="s">
        <v>1395</v>
      </c>
      <c r="M196" s="9" t="s">
        <v>432</v>
      </c>
      <c r="N196" s="9" t="s">
        <v>1395</v>
      </c>
      <c r="O196" s="9" t="s">
        <v>1395</v>
      </c>
      <c r="P196" s="9" t="s">
        <v>1395</v>
      </c>
      <c r="R196">
        <v>1</v>
      </c>
      <c r="S196" s="9" t="s">
        <v>67</v>
      </c>
      <c r="T196" s="9" t="s">
        <v>1395</v>
      </c>
      <c r="U196" s="9" t="s">
        <v>1395</v>
      </c>
      <c r="V196" s="9" t="s">
        <v>903</v>
      </c>
      <c r="W196" s="9" t="s">
        <v>1600</v>
      </c>
      <c r="X196" s="9" t="s">
        <v>1601</v>
      </c>
      <c r="Y196" s="9" t="s">
        <v>904</v>
      </c>
      <c r="Z196" s="9" t="s">
        <v>38</v>
      </c>
      <c r="AA196" s="1">
        <v>46209</v>
      </c>
    </row>
    <row r="197" spans="1:27" x14ac:dyDescent="0.25">
      <c r="A197" s="9" t="s">
        <v>1602</v>
      </c>
      <c r="B197" s="9" t="s">
        <v>905</v>
      </c>
      <c r="C197" s="10">
        <f>_xlfn.XLOOKUP(_2026[[#This Row],[Artist]], Table3[Artist], Table3[Rating], "",)</f>
        <v>0</v>
      </c>
      <c r="D197" s="9">
        <f>_xlfn.XLOOKUP(_2026[[#This Row],[Artist]], Table3[Artist], Table3[Notes], "",)</f>
        <v>0</v>
      </c>
      <c r="E197" s="1">
        <v>46206</v>
      </c>
      <c r="F197" s="2">
        <v>0.77083333333333337</v>
      </c>
      <c r="G197" s="2">
        <v>0.83333333333333337</v>
      </c>
      <c r="H197" s="9" t="s">
        <v>743</v>
      </c>
      <c r="I197" s="9" t="s">
        <v>1836</v>
      </c>
      <c r="J197" s="9" t="s">
        <v>162</v>
      </c>
      <c r="K197" s="9" t="s">
        <v>1603</v>
      </c>
      <c r="L197" s="9" t="s">
        <v>1395</v>
      </c>
      <c r="M197" s="9" t="s">
        <v>432</v>
      </c>
      <c r="N197" s="9" t="s">
        <v>1395</v>
      </c>
      <c r="O197" s="9" t="s">
        <v>1395</v>
      </c>
      <c r="P197" s="9" t="s">
        <v>1395</v>
      </c>
      <c r="R197">
        <v>1</v>
      </c>
      <c r="S197" s="9" t="s">
        <v>567</v>
      </c>
      <c r="T197" s="9" t="s">
        <v>38</v>
      </c>
      <c r="U197" s="9" t="s">
        <v>1395</v>
      </c>
      <c r="V197" s="9" t="s">
        <v>906</v>
      </c>
      <c r="W197" s="9" t="s">
        <v>1604</v>
      </c>
      <c r="X197" s="9" t="s">
        <v>1605</v>
      </c>
      <c r="Y197" s="9" t="s">
        <v>907</v>
      </c>
      <c r="Z197" s="9" t="s">
        <v>38</v>
      </c>
      <c r="AA197" s="1">
        <v>46206</v>
      </c>
    </row>
    <row r="198" spans="1:27" x14ac:dyDescent="0.25">
      <c r="A198" s="9" t="s">
        <v>908</v>
      </c>
      <c r="B198" s="9" t="s">
        <v>909</v>
      </c>
      <c r="C198" s="10">
        <f>_xlfn.XLOOKUP(_2026[[#This Row],[Artist]], Table3[Artist], Table3[Rating], "",)</f>
        <v>0</v>
      </c>
      <c r="D198" s="9">
        <f>_xlfn.XLOOKUP(_2026[[#This Row],[Artist]], Table3[Artist], Table3[Notes], "",)</f>
        <v>0</v>
      </c>
      <c r="E198" s="1">
        <v>46208</v>
      </c>
      <c r="F198" s="2">
        <v>0.58333333333333337</v>
      </c>
      <c r="G198" s="2">
        <v>0.64583333333333337</v>
      </c>
      <c r="H198" s="9" t="s">
        <v>743</v>
      </c>
      <c r="I198" s="9" t="s">
        <v>910</v>
      </c>
      <c r="J198" s="9" t="s">
        <v>458</v>
      </c>
      <c r="K198" s="9" t="s">
        <v>911</v>
      </c>
      <c r="L198" s="9" t="s">
        <v>1395</v>
      </c>
      <c r="M198" s="9" t="s">
        <v>912</v>
      </c>
      <c r="N198" s="9" t="s">
        <v>1395</v>
      </c>
      <c r="O198" s="9" t="s">
        <v>1395</v>
      </c>
      <c r="P198" s="9" t="s">
        <v>913</v>
      </c>
      <c r="Q198">
        <v>8</v>
      </c>
      <c r="S198" s="9" t="s">
        <v>67</v>
      </c>
      <c r="T198" s="9" t="s">
        <v>35</v>
      </c>
      <c r="U198" s="9" t="s">
        <v>1395</v>
      </c>
      <c r="V198" s="9" t="s">
        <v>914</v>
      </c>
      <c r="W198" s="9" t="s">
        <v>1606</v>
      </c>
      <c r="X198" s="9" t="s">
        <v>915</v>
      </c>
      <c r="Y198" s="9" t="s">
        <v>916</v>
      </c>
      <c r="Z198" s="9" t="s">
        <v>38</v>
      </c>
      <c r="AA198" s="1">
        <v>46208</v>
      </c>
    </row>
    <row r="199" spans="1:27" x14ac:dyDescent="0.25">
      <c r="A199" s="9" t="s">
        <v>730</v>
      </c>
      <c r="B199" s="9" t="s">
        <v>731</v>
      </c>
      <c r="C199" s="10">
        <f>_xlfn.XLOOKUP(_2026[[#This Row],[Artist]], Table3[Artist], Table3[Rating], "",)</f>
        <v>0</v>
      </c>
      <c r="D199" s="9">
        <f>_xlfn.XLOOKUP(_2026[[#This Row],[Artist]], Table3[Artist], Table3[Notes], "",)</f>
        <v>0</v>
      </c>
      <c r="E199" s="1">
        <v>46207</v>
      </c>
      <c r="F199" s="2">
        <v>0.58333333333333337</v>
      </c>
      <c r="G199" s="2">
        <v>0.66666666666666663</v>
      </c>
      <c r="H199" s="9" t="s">
        <v>547</v>
      </c>
      <c r="I199" s="9" t="s">
        <v>732</v>
      </c>
      <c r="J199" s="9" t="s">
        <v>1395</v>
      </c>
      <c r="K199" s="9" t="s">
        <v>733</v>
      </c>
      <c r="L199" s="9" t="s">
        <v>1395</v>
      </c>
      <c r="M199" s="9" t="s">
        <v>432</v>
      </c>
      <c r="N199" s="9" t="s">
        <v>1395</v>
      </c>
      <c r="O199" s="9" t="s">
        <v>1395</v>
      </c>
      <c r="P199" s="9" t="s">
        <v>1395</v>
      </c>
      <c r="S199" s="9" t="s">
        <v>1395</v>
      </c>
      <c r="T199" s="9" t="s">
        <v>1395</v>
      </c>
      <c r="U199" s="9" t="s">
        <v>1395</v>
      </c>
      <c r="V199" s="9" t="s">
        <v>734</v>
      </c>
      <c r="W199" s="9" t="s">
        <v>1540</v>
      </c>
      <c r="X199" s="9" t="s">
        <v>735</v>
      </c>
      <c r="Y199" s="9" t="s">
        <v>736</v>
      </c>
      <c r="Z199" s="9" t="s">
        <v>38</v>
      </c>
      <c r="AA199" s="1">
        <v>46207</v>
      </c>
    </row>
    <row r="200" spans="1:27" x14ac:dyDescent="0.25">
      <c r="A200" s="9" t="s">
        <v>279</v>
      </c>
      <c r="B200" s="9" t="s">
        <v>280</v>
      </c>
      <c r="C200" s="10">
        <f>_xlfn.XLOOKUP(_2026[[#This Row],[Artist]], Table3[Artist], Table3[Rating], "",)</f>
        <v>6</v>
      </c>
      <c r="D200" s="9" t="str">
        <f>_xlfn.XLOOKUP(_2026[[#This Row],[Artist]], Table3[Artist], Table3[Notes], "",)</f>
        <v>Ook Belgische nederhop is saai.</v>
      </c>
      <c r="E200" s="1">
        <v>46206</v>
      </c>
      <c r="F200" s="2">
        <v>0.77083333333333337</v>
      </c>
      <c r="G200" s="2">
        <v>0.8125</v>
      </c>
      <c r="H200" s="9" t="s">
        <v>100</v>
      </c>
      <c r="I200" s="9" t="s">
        <v>40</v>
      </c>
      <c r="J200" s="9" t="s">
        <v>281</v>
      </c>
      <c r="K200" s="9" t="s">
        <v>282</v>
      </c>
      <c r="L200" s="9" t="s">
        <v>283</v>
      </c>
      <c r="M200" s="9" t="s">
        <v>284</v>
      </c>
      <c r="N200" s="9" t="s">
        <v>1395</v>
      </c>
      <c r="O200" s="9" t="s">
        <v>1395</v>
      </c>
      <c r="P200" s="9" t="s">
        <v>285</v>
      </c>
      <c r="Q200">
        <v>7</v>
      </c>
      <c r="S200" s="9" t="s">
        <v>67</v>
      </c>
      <c r="T200" s="9" t="s">
        <v>35</v>
      </c>
      <c r="U200" s="9" t="s">
        <v>1395</v>
      </c>
      <c r="V200" s="9" t="s">
        <v>286</v>
      </c>
      <c r="W200" s="9" t="s">
        <v>1449</v>
      </c>
      <c r="X200" s="9" t="s">
        <v>1450</v>
      </c>
      <c r="Y200" s="9" t="s">
        <v>287</v>
      </c>
      <c r="Z200" s="9" t="s">
        <v>38</v>
      </c>
      <c r="AA200" s="1">
        <v>46206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3413F-1C70-4AC9-A96B-C6378B266FA5}">
  <sheetPr codeName="Sheet2"/>
  <dimension ref="A1:C195"/>
  <sheetViews>
    <sheetView workbookViewId="0">
      <selection activeCell="C90" sqref="C90"/>
    </sheetView>
  </sheetViews>
  <sheetFormatPr defaultRowHeight="15" x14ac:dyDescent="0.25"/>
  <cols>
    <col min="1" max="1" width="49.85546875" style="3" bestFit="1" customWidth="1"/>
    <col min="2" max="2" width="9.140625" style="7"/>
    <col min="3" max="3" width="74" style="3" customWidth="1"/>
  </cols>
  <sheetData>
    <row r="1" spans="1:3" x14ac:dyDescent="0.25">
      <c r="A1" s="3" t="s">
        <v>0</v>
      </c>
      <c r="B1" s="7" t="s">
        <v>1774</v>
      </c>
      <c r="C1" s="3" t="s">
        <v>1775</v>
      </c>
    </row>
    <row r="2" spans="1:3" x14ac:dyDescent="0.25">
      <c r="A2" s="4" t="s">
        <v>397</v>
      </c>
      <c r="B2" s="8">
        <v>8</v>
      </c>
      <c r="C2" s="5" t="s">
        <v>1776</v>
      </c>
    </row>
    <row r="3" spans="1:3" x14ac:dyDescent="0.25">
      <c r="A3" s="4" t="s">
        <v>1444</v>
      </c>
      <c r="B3" s="8">
        <v>7</v>
      </c>
      <c r="C3" s="5" t="s">
        <v>1806</v>
      </c>
    </row>
    <row r="4" spans="1:3" x14ac:dyDescent="0.25">
      <c r="A4" s="4" t="s">
        <v>1228</v>
      </c>
      <c r="B4" s="8">
        <v>7</v>
      </c>
      <c r="C4" s="5" t="s">
        <v>1780</v>
      </c>
    </row>
    <row r="5" spans="1:3" x14ac:dyDescent="0.25">
      <c r="A5" s="4" t="s">
        <v>741</v>
      </c>
      <c r="B5" s="8"/>
      <c r="C5" s="5"/>
    </row>
    <row r="6" spans="1:3" x14ac:dyDescent="0.25">
      <c r="A6" s="4" t="s">
        <v>1258</v>
      </c>
      <c r="B6" s="8"/>
      <c r="C6" s="5"/>
    </row>
    <row r="7" spans="1:3" x14ac:dyDescent="0.25">
      <c r="A7" s="4" t="s">
        <v>98</v>
      </c>
      <c r="B7" s="8">
        <v>8</v>
      </c>
      <c r="C7" s="5" t="s">
        <v>1802</v>
      </c>
    </row>
    <row r="8" spans="1:3" x14ac:dyDescent="0.25">
      <c r="A8" s="4" t="s">
        <v>545</v>
      </c>
      <c r="B8" s="8"/>
      <c r="C8" s="5"/>
    </row>
    <row r="9" spans="1:3" x14ac:dyDescent="0.25">
      <c r="A9" s="4" t="s">
        <v>109</v>
      </c>
      <c r="B9" s="8"/>
      <c r="C9" s="5"/>
    </row>
    <row r="10" spans="1:3" x14ac:dyDescent="0.25">
      <c r="A10" s="4" t="s">
        <v>288</v>
      </c>
      <c r="B10" s="8">
        <v>8</v>
      </c>
      <c r="C10" s="5" t="s">
        <v>1779</v>
      </c>
    </row>
    <row r="11" spans="1:3" x14ac:dyDescent="0.25">
      <c r="A11" s="4" t="s">
        <v>750</v>
      </c>
      <c r="B11" s="8"/>
      <c r="C11" s="5"/>
    </row>
    <row r="12" spans="1:3" x14ac:dyDescent="0.25">
      <c r="A12" s="4" t="s">
        <v>554</v>
      </c>
      <c r="B12" s="8"/>
      <c r="C12" s="5"/>
    </row>
    <row r="13" spans="1:3" x14ac:dyDescent="0.25">
      <c r="A13" s="4" t="s">
        <v>297</v>
      </c>
      <c r="B13" s="8"/>
      <c r="C13" s="5"/>
    </row>
    <row r="14" spans="1:3" x14ac:dyDescent="0.25">
      <c r="A14" s="4" t="s">
        <v>756</v>
      </c>
      <c r="B14" s="8"/>
      <c r="C14" s="5"/>
    </row>
    <row r="15" spans="1:3" x14ac:dyDescent="0.25">
      <c r="A15" s="4" t="s">
        <v>308</v>
      </c>
      <c r="B15" s="8"/>
      <c r="C15" s="5"/>
    </row>
    <row r="16" spans="1:3" x14ac:dyDescent="0.25">
      <c r="A16" s="4" t="s">
        <v>121</v>
      </c>
      <c r="B16" s="8">
        <v>8</v>
      </c>
      <c r="C16" s="5" t="s">
        <v>1793</v>
      </c>
    </row>
    <row r="17" spans="1:3" x14ac:dyDescent="0.25">
      <c r="A17" s="4" t="s">
        <v>562</v>
      </c>
      <c r="B17" s="8"/>
      <c r="C17" s="5"/>
    </row>
    <row r="18" spans="1:3" x14ac:dyDescent="0.25">
      <c r="A18" s="4" t="s">
        <v>921</v>
      </c>
      <c r="B18" s="8"/>
      <c r="C18" s="5"/>
    </row>
    <row r="19" spans="1:3" x14ac:dyDescent="0.25">
      <c r="A19" s="4" t="s">
        <v>1060</v>
      </c>
      <c r="B19" s="8"/>
      <c r="C19" s="5"/>
    </row>
    <row r="20" spans="1:3" x14ac:dyDescent="0.25">
      <c r="A20" s="4" t="s">
        <v>765</v>
      </c>
      <c r="B20" s="8"/>
      <c r="C20" s="5"/>
    </row>
    <row r="21" spans="1:3" x14ac:dyDescent="0.25">
      <c r="A21" s="4" t="s">
        <v>571</v>
      </c>
      <c r="B21" s="8"/>
      <c r="C21" s="5"/>
    </row>
    <row r="22" spans="1:3" x14ac:dyDescent="0.25">
      <c r="A22" s="4" t="s">
        <v>771</v>
      </c>
      <c r="B22" s="8"/>
      <c r="C22" s="5"/>
    </row>
    <row r="23" spans="1:3" x14ac:dyDescent="0.25">
      <c r="A23" s="4" t="s">
        <v>929</v>
      </c>
      <c r="B23" s="8"/>
      <c r="C23" s="5"/>
    </row>
    <row r="24" spans="1:3" x14ac:dyDescent="0.25">
      <c r="A24" s="4" t="s">
        <v>317</v>
      </c>
      <c r="B24" s="8">
        <v>7</v>
      </c>
      <c r="C24" s="5" t="s">
        <v>1808</v>
      </c>
    </row>
    <row r="25" spans="1:3" x14ac:dyDescent="0.25">
      <c r="A25" s="4" t="s">
        <v>579</v>
      </c>
      <c r="B25" s="8"/>
      <c r="C25" s="5"/>
    </row>
    <row r="26" spans="1:3" x14ac:dyDescent="0.25">
      <c r="A26" s="4" t="s">
        <v>327</v>
      </c>
      <c r="B26" s="8"/>
      <c r="C26" s="5"/>
    </row>
    <row r="27" spans="1:3" x14ac:dyDescent="0.25">
      <c r="A27" s="4" t="s">
        <v>1067</v>
      </c>
      <c r="B27" s="8"/>
      <c r="C27" s="5"/>
    </row>
    <row r="28" spans="1:3" x14ac:dyDescent="0.25">
      <c r="A28" s="4" t="s">
        <v>1340</v>
      </c>
      <c r="B28" s="8"/>
      <c r="C28" s="5"/>
    </row>
    <row r="29" spans="1:3" ht="30" x14ac:dyDescent="0.25">
      <c r="A29" s="4" t="s">
        <v>130</v>
      </c>
      <c r="B29" s="8">
        <v>8</v>
      </c>
      <c r="C29" s="5" t="s">
        <v>1786</v>
      </c>
    </row>
    <row r="30" spans="1:3" x14ac:dyDescent="0.25">
      <c r="A30" s="4" t="s">
        <v>587</v>
      </c>
      <c r="B30" s="8"/>
      <c r="C30" s="5"/>
    </row>
    <row r="31" spans="1:3" x14ac:dyDescent="0.25">
      <c r="A31" s="4" t="s">
        <v>140</v>
      </c>
      <c r="B31" s="8">
        <v>7</v>
      </c>
      <c r="C31" s="5" t="s">
        <v>1789</v>
      </c>
    </row>
    <row r="32" spans="1:3" x14ac:dyDescent="0.25">
      <c r="A32" s="4" t="s">
        <v>1345</v>
      </c>
      <c r="B32" s="8"/>
      <c r="C32" s="5"/>
    </row>
    <row r="33" spans="1:3" x14ac:dyDescent="0.25">
      <c r="A33" s="4" t="s">
        <v>1764</v>
      </c>
      <c r="B33" s="8"/>
      <c r="C33" s="5"/>
    </row>
    <row r="34" spans="1:3" x14ac:dyDescent="0.25">
      <c r="A34" s="4" t="s">
        <v>59</v>
      </c>
      <c r="B34" s="8">
        <v>10</v>
      </c>
      <c r="C34" s="5" t="s">
        <v>1790</v>
      </c>
    </row>
    <row r="35" spans="1:3" x14ac:dyDescent="0.25">
      <c r="A35" s="4" t="s">
        <v>480</v>
      </c>
      <c r="B35" s="8"/>
      <c r="C35" s="5"/>
    </row>
    <row r="36" spans="1:3" x14ac:dyDescent="0.25">
      <c r="A36" s="4" t="s">
        <v>238</v>
      </c>
      <c r="B36" s="8">
        <v>6</v>
      </c>
      <c r="C36" s="5" t="s">
        <v>1800</v>
      </c>
    </row>
    <row r="37" spans="1:3" x14ac:dyDescent="0.25">
      <c r="A37" s="4" t="s">
        <v>1073</v>
      </c>
      <c r="B37" s="8"/>
      <c r="C37" s="5"/>
    </row>
    <row r="38" spans="1:3" x14ac:dyDescent="0.25">
      <c r="A38" s="4" t="s">
        <v>335</v>
      </c>
      <c r="B38" s="8"/>
      <c r="C38" s="5"/>
    </row>
    <row r="39" spans="1:3" x14ac:dyDescent="0.25">
      <c r="A39" s="4" t="s">
        <v>1161</v>
      </c>
      <c r="B39" s="8"/>
      <c r="C39" s="5"/>
    </row>
    <row r="40" spans="1:3" x14ac:dyDescent="0.25">
      <c r="A40" s="4" t="s">
        <v>1460</v>
      </c>
      <c r="B40" s="8">
        <v>10</v>
      </c>
      <c r="C40" s="5" t="s">
        <v>1781</v>
      </c>
    </row>
    <row r="41" spans="1:3" x14ac:dyDescent="0.25">
      <c r="A41" s="4" t="s">
        <v>1348</v>
      </c>
      <c r="B41" s="8"/>
      <c r="C41" s="5"/>
    </row>
    <row r="42" spans="1:3" x14ac:dyDescent="0.25">
      <c r="A42" s="4" t="s">
        <v>779</v>
      </c>
      <c r="B42" s="8"/>
      <c r="C42" s="5"/>
    </row>
    <row r="43" spans="1:3" x14ac:dyDescent="0.25">
      <c r="A43" s="4" t="s">
        <v>1264</v>
      </c>
      <c r="B43" s="8"/>
      <c r="C43" s="5"/>
    </row>
    <row r="44" spans="1:3" x14ac:dyDescent="0.25">
      <c r="A44" s="4" t="s">
        <v>785</v>
      </c>
      <c r="B44" s="8"/>
      <c r="C44" s="5"/>
    </row>
    <row r="45" spans="1:3" x14ac:dyDescent="0.25">
      <c r="A45" s="4" t="s">
        <v>792</v>
      </c>
      <c r="B45" s="8"/>
      <c r="C45" s="5"/>
    </row>
    <row r="46" spans="1:3" x14ac:dyDescent="0.25">
      <c r="A46" s="4" t="s">
        <v>1233</v>
      </c>
      <c r="B46" s="8"/>
      <c r="C46" s="5"/>
    </row>
    <row r="47" spans="1:3" x14ac:dyDescent="0.25">
      <c r="A47" s="4" t="s">
        <v>597</v>
      </c>
      <c r="B47" s="8"/>
      <c r="C47" s="5"/>
    </row>
    <row r="48" spans="1:3" x14ac:dyDescent="0.25">
      <c r="A48" s="4" t="s">
        <v>604</v>
      </c>
      <c r="B48" s="8"/>
      <c r="C48" s="5"/>
    </row>
    <row r="49" spans="1:3" x14ac:dyDescent="0.25">
      <c r="A49" s="4" t="s">
        <v>1269</v>
      </c>
      <c r="B49" s="8"/>
      <c r="C49" s="5"/>
    </row>
    <row r="50" spans="1:3" x14ac:dyDescent="0.25">
      <c r="A50" s="4" t="s">
        <v>71</v>
      </c>
      <c r="B50" s="8">
        <v>7</v>
      </c>
      <c r="C50" s="5" t="s">
        <v>1783</v>
      </c>
    </row>
    <row r="51" spans="1:3" x14ac:dyDescent="0.25">
      <c r="A51" s="4" t="s">
        <v>613</v>
      </c>
      <c r="B51" s="8"/>
      <c r="C51" s="5"/>
    </row>
    <row r="52" spans="1:3" x14ac:dyDescent="0.25">
      <c r="A52" s="4" t="s">
        <v>802</v>
      </c>
      <c r="B52" s="8"/>
      <c r="C52" s="5"/>
    </row>
    <row r="53" spans="1:3" x14ac:dyDescent="0.25">
      <c r="A53" s="4" t="s">
        <v>933</v>
      </c>
      <c r="B53" s="8"/>
      <c r="C53" s="5"/>
    </row>
    <row r="54" spans="1:3" x14ac:dyDescent="0.25">
      <c r="A54" s="4" t="s">
        <v>620</v>
      </c>
      <c r="B54" s="8"/>
      <c r="C54" s="5"/>
    </row>
    <row r="55" spans="1:3" x14ac:dyDescent="0.25">
      <c r="A55" s="4" t="s">
        <v>1082</v>
      </c>
      <c r="B55" s="8"/>
      <c r="C55" s="5"/>
    </row>
    <row r="56" spans="1:3" x14ac:dyDescent="0.25">
      <c r="A56" s="4" t="s">
        <v>25</v>
      </c>
      <c r="B56" s="8">
        <v>8</v>
      </c>
      <c r="C56" s="5" t="s">
        <v>1796</v>
      </c>
    </row>
    <row r="57" spans="1:3" x14ac:dyDescent="0.25">
      <c r="A57" s="4" t="s">
        <v>352</v>
      </c>
      <c r="B57" s="8">
        <v>7</v>
      </c>
      <c r="C57" s="5" t="s">
        <v>1813</v>
      </c>
    </row>
    <row r="58" spans="1:3" x14ac:dyDescent="0.25">
      <c r="A58" s="4" t="s">
        <v>361</v>
      </c>
      <c r="B58" s="8"/>
      <c r="C58" s="5"/>
    </row>
    <row r="59" spans="1:3" x14ac:dyDescent="0.25">
      <c r="A59" s="4" t="s">
        <v>1166</v>
      </c>
      <c r="B59" s="8"/>
      <c r="C59" s="5"/>
    </row>
    <row r="60" spans="1:3" x14ac:dyDescent="0.25">
      <c r="A60" s="4" t="s">
        <v>807</v>
      </c>
      <c r="B60" s="8"/>
      <c r="C60" s="5"/>
    </row>
    <row r="61" spans="1:3" x14ac:dyDescent="0.25">
      <c r="A61" s="4" t="s">
        <v>370</v>
      </c>
      <c r="B61" s="8"/>
      <c r="C61" s="5"/>
    </row>
    <row r="62" spans="1:3" x14ac:dyDescent="0.25">
      <c r="A62" s="4" t="s">
        <v>1172</v>
      </c>
      <c r="B62" s="8"/>
      <c r="C62" s="5"/>
    </row>
    <row r="63" spans="1:3" x14ac:dyDescent="0.25">
      <c r="A63" s="4" t="s">
        <v>1141</v>
      </c>
      <c r="B63" s="8"/>
      <c r="C63" s="5"/>
    </row>
    <row r="64" spans="1:3" x14ac:dyDescent="0.25">
      <c r="A64" s="4" t="s">
        <v>627</v>
      </c>
      <c r="B64" s="8"/>
      <c r="C64" s="5"/>
    </row>
    <row r="65" spans="1:3" x14ac:dyDescent="0.25">
      <c r="A65" s="4" t="s">
        <v>1614</v>
      </c>
      <c r="B65" s="8"/>
      <c r="C65" s="5"/>
    </row>
    <row r="66" spans="1:3" x14ac:dyDescent="0.25">
      <c r="A66" s="4" t="s">
        <v>944</v>
      </c>
      <c r="B66" s="8"/>
      <c r="C66" s="5"/>
    </row>
    <row r="67" spans="1:3" x14ac:dyDescent="0.25">
      <c r="A67" s="4" t="s">
        <v>811</v>
      </c>
      <c r="B67" s="8"/>
      <c r="C67" s="5"/>
    </row>
    <row r="68" spans="1:3" x14ac:dyDescent="0.25">
      <c r="A68" s="4" t="s">
        <v>151</v>
      </c>
      <c r="B68" s="8">
        <v>6</v>
      </c>
      <c r="C68" s="5" t="s">
        <v>1807</v>
      </c>
    </row>
    <row r="69" spans="1:3" x14ac:dyDescent="0.25">
      <c r="A69" s="4" t="s">
        <v>948</v>
      </c>
      <c r="B69" s="8"/>
      <c r="C69" s="5"/>
    </row>
    <row r="70" spans="1:3" x14ac:dyDescent="0.25">
      <c r="A70" s="4" t="s">
        <v>1508</v>
      </c>
      <c r="B70" s="8"/>
      <c r="C70" s="5"/>
    </row>
    <row r="71" spans="1:3" x14ac:dyDescent="0.25">
      <c r="A71" s="4" t="s">
        <v>817</v>
      </c>
      <c r="B71" s="8"/>
      <c r="C71" s="5"/>
    </row>
    <row r="72" spans="1:3" x14ac:dyDescent="0.25">
      <c r="A72" s="4" t="s">
        <v>1088</v>
      </c>
      <c r="B72" s="8"/>
      <c r="C72" s="5"/>
    </row>
    <row r="73" spans="1:3" x14ac:dyDescent="0.25">
      <c r="A73" s="4" t="s">
        <v>1094</v>
      </c>
      <c r="B73" s="8"/>
      <c r="C73" s="5"/>
    </row>
    <row r="74" spans="1:3" x14ac:dyDescent="0.25">
      <c r="A74" s="4" t="s">
        <v>1102</v>
      </c>
      <c r="B74" s="8"/>
      <c r="C74" s="5"/>
    </row>
    <row r="75" spans="1:3" x14ac:dyDescent="0.25">
      <c r="A75" s="4" t="s">
        <v>159</v>
      </c>
      <c r="B75" s="8">
        <v>6</v>
      </c>
      <c r="C75" s="5" t="s">
        <v>1794</v>
      </c>
    </row>
    <row r="76" spans="1:3" ht="30" x14ac:dyDescent="0.25">
      <c r="A76" s="4" t="s">
        <v>380</v>
      </c>
      <c r="B76" s="8">
        <v>9</v>
      </c>
      <c r="C76" s="5" t="s">
        <v>1811</v>
      </c>
    </row>
    <row r="77" spans="1:3" x14ac:dyDescent="0.25">
      <c r="A77" s="4" t="s">
        <v>953</v>
      </c>
      <c r="B77" s="8"/>
      <c r="C77" s="5"/>
    </row>
    <row r="78" spans="1:3" x14ac:dyDescent="0.25">
      <c r="A78" s="4" t="s">
        <v>636</v>
      </c>
      <c r="B78" s="8"/>
      <c r="C78" s="5"/>
    </row>
    <row r="79" spans="1:3" x14ac:dyDescent="0.25">
      <c r="A79" s="4" t="s">
        <v>1276</v>
      </c>
      <c r="B79" s="8"/>
      <c r="C79" s="5"/>
    </row>
    <row r="80" spans="1:3" x14ac:dyDescent="0.25">
      <c r="A80" s="4" t="s">
        <v>167</v>
      </c>
      <c r="B80" s="8"/>
      <c r="C80" s="5"/>
    </row>
    <row r="81" spans="1:3" x14ac:dyDescent="0.25">
      <c r="A81" s="4" t="s">
        <v>175</v>
      </c>
      <c r="B81" s="8">
        <v>7</v>
      </c>
      <c r="C81" s="5" t="s">
        <v>1803</v>
      </c>
    </row>
    <row r="82" spans="1:3" ht="30" x14ac:dyDescent="0.25">
      <c r="A82" s="4" t="s">
        <v>184</v>
      </c>
      <c r="B82" s="8">
        <v>8</v>
      </c>
      <c r="C82" s="5" t="s">
        <v>1812</v>
      </c>
    </row>
    <row r="83" spans="1:3" x14ac:dyDescent="0.25">
      <c r="A83" s="4" t="s">
        <v>1107</v>
      </c>
      <c r="B83" s="8"/>
      <c r="C83" s="5"/>
    </row>
    <row r="84" spans="1:3" x14ac:dyDescent="0.25">
      <c r="A84" s="4" t="s">
        <v>1113</v>
      </c>
      <c r="B84" s="8"/>
      <c r="C84" s="5"/>
    </row>
    <row r="85" spans="1:3" x14ac:dyDescent="0.25">
      <c r="A85" s="4" t="s">
        <v>641</v>
      </c>
      <c r="B85" s="8"/>
      <c r="C85" s="5"/>
    </row>
    <row r="86" spans="1:3" x14ac:dyDescent="0.25">
      <c r="A86" s="4" t="s">
        <v>825</v>
      </c>
      <c r="B86" s="8"/>
      <c r="C86" s="5"/>
    </row>
    <row r="87" spans="1:3" ht="30" x14ac:dyDescent="0.25">
      <c r="A87" s="4" t="s">
        <v>388</v>
      </c>
      <c r="B87" s="8">
        <v>7</v>
      </c>
      <c r="C87" s="5" t="s">
        <v>1815</v>
      </c>
    </row>
    <row r="88" spans="1:3" x14ac:dyDescent="0.25">
      <c r="A88" s="4" t="s">
        <v>1145</v>
      </c>
      <c r="B88" s="8"/>
      <c r="C88" s="5"/>
    </row>
    <row r="89" spans="1:3" x14ac:dyDescent="0.25">
      <c r="A89" s="4" t="s">
        <v>834</v>
      </c>
      <c r="B89" s="8"/>
      <c r="C89" s="5"/>
    </row>
    <row r="90" spans="1:3" x14ac:dyDescent="0.25">
      <c r="A90" s="4" t="s">
        <v>1356</v>
      </c>
      <c r="B90" s="8"/>
      <c r="C90" s="5"/>
    </row>
    <row r="91" spans="1:3" x14ac:dyDescent="0.25">
      <c r="A91" s="4" t="s">
        <v>1150</v>
      </c>
      <c r="B91" s="8"/>
      <c r="C91" s="5"/>
    </row>
    <row r="92" spans="1:3" x14ac:dyDescent="0.25">
      <c r="A92" s="4" t="s">
        <v>1700</v>
      </c>
      <c r="B92" s="8"/>
      <c r="C92" s="5"/>
    </row>
    <row r="93" spans="1:3" x14ac:dyDescent="0.25">
      <c r="A93" s="4" t="s">
        <v>957</v>
      </c>
      <c r="B93" s="8"/>
      <c r="C93" s="5"/>
    </row>
    <row r="94" spans="1:3" x14ac:dyDescent="0.25">
      <c r="A94" s="4" t="s">
        <v>839</v>
      </c>
      <c r="B94" s="8"/>
      <c r="C94" s="5"/>
    </row>
    <row r="95" spans="1:3" x14ac:dyDescent="0.25">
      <c r="A95" s="4" t="s">
        <v>962</v>
      </c>
      <c r="B95" s="8"/>
      <c r="C95" s="5"/>
    </row>
    <row r="96" spans="1:3" x14ac:dyDescent="0.25">
      <c r="A96" s="4" t="s">
        <v>1157</v>
      </c>
      <c r="B96" s="8"/>
      <c r="C96" s="5"/>
    </row>
    <row r="97" spans="1:3" x14ac:dyDescent="0.25">
      <c r="A97" s="4" t="s">
        <v>39</v>
      </c>
      <c r="B97" s="8">
        <v>8</v>
      </c>
      <c r="C97" s="5" t="s">
        <v>1784</v>
      </c>
    </row>
    <row r="98" spans="1:3" x14ac:dyDescent="0.25">
      <c r="A98" s="4" t="s">
        <v>1719</v>
      </c>
      <c r="B98" s="8"/>
      <c r="C98" s="5"/>
    </row>
    <row r="99" spans="1:3" x14ac:dyDescent="0.25">
      <c r="A99" s="4" t="s">
        <v>81</v>
      </c>
      <c r="B99" s="8">
        <v>7</v>
      </c>
      <c r="C99" s="5" t="s">
        <v>1795</v>
      </c>
    </row>
    <row r="100" spans="1:3" x14ac:dyDescent="0.25">
      <c r="A100" s="4" t="s">
        <v>1475</v>
      </c>
      <c r="B100" s="8"/>
      <c r="C100" s="5"/>
    </row>
    <row r="101" spans="1:3" x14ac:dyDescent="0.25">
      <c r="A101" s="4" t="s">
        <v>650</v>
      </c>
      <c r="B101" s="8"/>
      <c r="C101" s="5"/>
    </row>
    <row r="102" spans="1:3" x14ac:dyDescent="0.25">
      <c r="A102" s="4" t="s">
        <v>657</v>
      </c>
      <c r="B102" s="8"/>
      <c r="C102" s="5"/>
    </row>
    <row r="103" spans="1:3" x14ac:dyDescent="0.25">
      <c r="A103" s="4" t="s">
        <v>1183</v>
      </c>
      <c r="B103" s="8"/>
      <c r="C103" s="5"/>
    </row>
    <row r="104" spans="1:3" x14ac:dyDescent="0.25">
      <c r="A104" s="4" t="s">
        <v>1119</v>
      </c>
      <c r="B104" s="8"/>
      <c r="C104" s="5"/>
    </row>
    <row r="105" spans="1:3" x14ac:dyDescent="0.25">
      <c r="A105" s="4" t="s">
        <v>417</v>
      </c>
      <c r="B105" s="8"/>
      <c r="C105" s="5"/>
    </row>
    <row r="106" spans="1:3" x14ac:dyDescent="0.25">
      <c r="A106" s="4" t="s">
        <v>428</v>
      </c>
      <c r="B106" s="8"/>
      <c r="C106" s="5"/>
    </row>
    <row r="107" spans="1:3" x14ac:dyDescent="0.25">
      <c r="A107" s="4" t="s">
        <v>969</v>
      </c>
      <c r="B107" s="8"/>
      <c r="C107" s="5"/>
    </row>
    <row r="108" spans="1:3" x14ac:dyDescent="0.25">
      <c r="A108" s="4" t="s">
        <v>976</v>
      </c>
      <c r="B108" s="8"/>
      <c r="C108" s="5"/>
    </row>
    <row r="109" spans="1:3" x14ac:dyDescent="0.25">
      <c r="A109" s="4" t="s">
        <v>847</v>
      </c>
      <c r="B109" s="8"/>
      <c r="C109" s="5"/>
    </row>
    <row r="110" spans="1:3" x14ac:dyDescent="0.25">
      <c r="A110" s="4" t="s">
        <v>664</v>
      </c>
      <c r="B110" s="8"/>
      <c r="C110" s="5"/>
    </row>
    <row r="111" spans="1:3" x14ac:dyDescent="0.25">
      <c r="A111" s="4" t="s">
        <v>194</v>
      </c>
      <c r="B111" s="8">
        <v>8</v>
      </c>
      <c r="C111" s="5" t="s">
        <v>1809</v>
      </c>
    </row>
    <row r="112" spans="1:3" x14ac:dyDescent="0.25">
      <c r="A112" s="4" t="s">
        <v>1283</v>
      </c>
      <c r="B112" s="8"/>
      <c r="C112" s="5"/>
    </row>
    <row r="113" spans="1:3" x14ac:dyDescent="0.25">
      <c r="A113" s="4" t="s">
        <v>981</v>
      </c>
      <c r="B113" s="8"/>
      <c r="C113" s="5"/>
    </row>
    <row r="114" spans="1:3" x14ac:dyDescent="0.25">
      <c r="A114" s="4" t="s">
        <v>446</v>
      </c>
      <c r="B114" s="8"/>
      <c r="C114" s="5"/>
    </row>
    <row r="115" spans="1:3" ht="30" x14ac:dyDescent="0.25">
      <c r="A115" s="4" t="s">
        <v>455</v>
      </c>
      <c r="B115" s="8">
        <v>7</v>
      </c>
      <c r="C115" s="5" t="s">
        <v>1814</v>
      </c>
    </row>
    <row r="116" spans="1:3" x14ac:dyDescent="0.25">
      <c r="A116" s="4" t="s">
        <v>737</v>
      </c>
      <c r="B116" s="8"/>
      <c r="C116" s="5"/>
    </row>
    <row r="117" spans="1:3" x14ac:dyDescent="0.25">
      <c r="A117" s="4" t="s">
        <v>466</v>
      </c>
      <c r="B117" s="8"/>
      <c r="C117" s="5"/>
    </row>
    <row r="118" spans="1:3" x14ac:dyDescent="0.25">
      <c r="A118" s="4" t="s">
        <v>1242</v>
      </c>
      <c r="B118" s="8"/>
      <c r="C118" s="5"/>
    </row>
    <row r="119" spans="1:3" x14ac:dyDescent="0.25">
      <c r="A119" s="4" t="s">
        <v>474</v>
      </c>
      <c r="B119" s="8">
        <v>8</v>
      </c>
      <c r="C119" s="5" t="s">
        <v>1792</v>
      </c>
    </row>
    <row r="120" spans="1:3" x14ac:dyDescent="0.25">
      <c r="A120" s="4" t="s">
        <v>1139</v>
      </c>
      <c r="B120" s="8"/>
      <c r="C120" s="5"/>
    </row>
    <row r="121" spans="1:3" x14ac:dyDescent="0.25">
      <c r="A121" s="4" t="s">
        <v>1193</v>
      </c>
      <c r="B121" s="8"/>
      <c r="C121" s="5"/>
    </row>
    <row r="122" spans="1:3" x14ac:dyDescent="0.25">
      <c r="A122" s="4" t="s">
        <v>490</v>
      </c>
      <c r="B122" s="8">
        <v>7</v>
      </c>
      <c r="C122" s="5"/>
    </row>
    <row r="123" spans="1:3" x14ac:dyDescent="0.25">
      <c r="A123" s="4" t="s">
        <v>852</v>
      </c>
      <c r="B123" s="8">
        <v>5</v>
      </c>
      <c r="C123" s="5"/>
    </row>
    <row r="124" spans="1:3" x14ac:dyDescent="0.25">
      <c r="A124" s="4" t="s">
        <v>990</v>
      </c>
      <c r="B124" s="8"/>
      <c r="C124" s="5"/>
    </row>
    <row r="125" spans="1:3" x14ac:dyDescent="0.25">
      <c r="A125" s="4" t="s">
        <v>1519</v>
      </c>
      <c r="B125" s="8"/>
      <c r="C125" s="5"/>
    </row>
    <row r="126" spans="1:3" x14ac:dyDescent="0.25">
      <c r="A126" s="4" t="s">
        <v>1291</v>
      </c>
      <c r="B126" s="8"/>
      <c r="C126" s="5"/>
    </row>
    <row r="127" spans="1:3" x14ac:dyDescent="0.25">
      <c r="A127" s="4" t="s">
        <v>1000</v>
      </c>
      <c r="B127" s="8"/>
      <c r="C127" s="5"/>
    </row>
    <row r="128" spans="1:3" ht="30" x14ac:dyDescent="0.25">
      <c r="A128" s="4" t="s">
        <v>203</v>
      </c>
      <c r="B128" s="8">
        <v>7</v>
      </c>
      <c r="C128" s="5" t="s">
        <v>1805</v>
      </c>
    </row>
    <row r="129" spans="1:3" x14ac:dyDescent="0.25">
      <c r="A129" s="4" t="s">
        <v>860</v>
      </c>
      <c r="B129" s="8"/>
      <c r="C129" s="5"/>
    </row>
    <row r="130" spans="1:3" x14ac:dyDescent="0.25">
      <c r="A130" s="4" t="s">
        <v>1250</v>
      </c>
      <c r="B130" s="8"/>
      <c r="C130" s="5"/>
    </row>
    <row r="131" spans="1:3" x14ac:dyDescent="0.25">
      <c r="A131" s="4" t="s">
        <v>1006</v>
      </c>
      <c r="B131" s="8"/>
      <c r="C131" s="5"/>
    </row>
    <row r="132" spans="1:3" x14ac:dyDescent="0.25">
      <c r="A132" s="4" t="s">
        <v>212</v>
      </c>
      <c r="B132" s="8">
        <v>6</v>
      </c>
      <c r="C132" s="5" t="s">
        <v>1810</v>
      </c>
    </row>
    <row r="133" spans="1:3" x14ac:dyDescent="0.25">
      <c r="A133" s="4" t="s">
        <v>679</v>
      </c>
      <c r="B133" s="8"/>
      <c r="C133" s="5"/>
    </row>
    <row r="134" spans="1:3" x14ac:dyDescent="0.25">
      <c r="A134" s="4" t="s">
        <v>498</v>
      </c>
      <c r="B134" s="8"/>
      <c r="C134" s="5"/>
    </row>
    <row r="135" spans="1:3" ht="30" x14ac:dyDescent="0.25">
      <c r="A135" s="4" t="s">
        <v>507</v>
      </c>
      <c r="B135" s="8">
        <v>8</v>
      </c>
      <c r="C135" s="5" t="s">
        <v>1804</v>
      </c>
    </row>
    <row r="136" spans="1:3" x14ac:dyDescent="0.25">
      <c r="A136" s="4" t="s">
        <v>684</v>
      </c>
      <c r="B136" s="8"/>
      <c r="C136" s="5"/>
    </row>
    <row r="137" spans="1:3" x14ac:dyDescent="0.25">
      <c r="A137" s="4" t="s">
        <v>517</v>
      </c>
      <c r="B137" s="8">
        <v>8</v>
      </c>
      <c r="C137" s="5" t="s">
        <v>1797</v>
      </c>
    </row>
    <row r="138" spans="1:3" x14ac:dyDescent="0.25">
      <c r="A138" s="4" t="s">
        <v>1015</v>
      </c>
      <c r="B138" s="8"/>
      <c r="C138" s="5"/>
    </row>
    <row r="139" spans="1:3" x14ac:dyDescent="0.25">
      <c r="A139" s="4" t="s">
        <v>1299</v>
      </c>
      <c r="B139" s="8"/>
      <c r="C139" s="5"/>
    </row>
    <row r="140" spans="1:3" x14ac:dyDescent="0.25">
      <c r="A140" s="4" t="s">
        <v>1369</v>
      </c>
      <c r="B140" s="8"/>
      <c r="C140" s="5"/>
    </row>
    <row r="141" spans="1:3" x14ac:dyDescent="0.25">
      <c r="A141" s="4" t="s">
        <v>1364</v>
      </c>
      <c r="B141" s="8"/>
      <c r="C141" s="5"/>
    </row>
    <row r="142" spans="1:3" x14ac:dyDescent="0.25">
      <c r="A142" s="4" t="s">
        <v>1360</v>
      </c>
      <c r="B142" s="8">
        <v>9</v>
      </c>
      <c r="C142" s="5" t="s">
        <v>1801</v>
      </c>
    </row>
    <row r="143" spans="1:3" x14ac:dyDescent="0.25">
      <c r="A143" s="4" t="s">
        <v>1024</v>
      </c>
      <c r="B143" s="8"/>
      <c r="C143" s="5"/>
    </row>
    <row r="144" spans="1:3" x14ac:dyDescent="0.25">
      <c r="A144" s="4" t="s">
        <v>1201</v>
      </c>
      <c r="B144" s="8"/>
      <c r="C144" s="5"/>
    </row>
    <row r="145" spans="1:3" x14ac:dyDescent="0.25">
      <c r="A145" s="4" t="s">
        <v>1033</v>
      </c>
      <c r="B145" s="8"/>
      <c r="C145" s="5"/>
    </row>
    <row r="146" spans="1:3" x14ac:dyDescent="0.25">
      <c r="A146" s="4" t="s">
        <v>864</v>
      </c>
      <c r="B146" s="8"/>
      <c r="C146" s="5"/>
    </row>
    <row r="147" spans="1:3" x14ac:dyDescent="0.25">
      <c r="A147" s="4" t="s">
        <v>1208</v>
      </c>
      <c r="B147" s="8"/>
      <c r="C147" s="5"/>
    </row>
    <row r="148" spans="1:3" x14ac:dyDescent="0.25">
      <c r="A148" s="4" t="s">
        <v>691</v>
      </c>
      <c r="B148" s="8"/>
      <c r="C148" s="5"/>
    </row>
    <row r="149" spans="1:3" x14ac:dyDescent="0.25">
      <c r="A149" s="4" t="s">
        <v>870</v>
      </c>
      <c r="B149" s="8"/>
      <c r="C149" s="5"/>
    </row>
    <row r="150" spans="1:3" x14ac:dyDescent="0.25">
      <c r="A150" s="4" t="s">
        <v>1041</v>
      </c>
      <c r="B150" s="8"/>
      <c r="C150" s="5"/>
    </row>
    <row r="151" spans="1:3" x14ac:dyDescent="0.25">
      <c r="A151" s="4" t="s">
        <v>1308</v>
      </c>
      <c r="B151" s="8"/>
      <c r="C151" s="5"/>
    </row>
    <row r="152" spans="1:3" x14ac:dyDescent="0.25">
      <c r="A152" s="4" t="s">
        <v>917</v>
      </c>
      <c r="B152" s="8"/>
      <c r="C152" s="5"/>
    </row>
    <row r="153" spans="1:3" x14ac:dyDescent="0.25">
      <c r="A153" s="4" t="s">
        <v>1586</v>
      </c>
      <c r="B153" s="8"/>
      <c r="C153" s="5"/>
    </row>
    <row r="154" spans="1:3" x14ac:dyDescent="0.25">
      <c r="A154" s="4" t="s">
        <v>878</v>
      </c>
      <c r="B154" s="8"/>
      <c r="C154" s="5"/>
    </row>
    <row r="155" spans="1:3" x14ac:dyDescent="0.25">
      <c r="A155" s="4" t="s">
        <v>221</v>
      </c>
      <c r="B155" s="8">
        <v>7</v>
      </c>
      <c r="C155" s="5" t="s">
        <v>1787</v>
      </c>
    </row>
    <row r="156" spans="1:3" x14ac:dyDescent="0.25">
      <c r="A156" s="4" t="s">
        <v>884</v>
      </c>
      <c r="B156" s="8"/>
      <c r="C156" s="5"/>
    </row>
    <row r="157" spans="1:3" x14ac:dyDescent="0.25">
      <c r="A157" s="4" t="s">
        <v>1154</v>
      </c>
      <c r="B157" s="8"/>
      <c r="C157" s="5"/>
    </row>
    <row r="158" spans="1:3" x14ac:dyDescent="0.25">
      <c r="A158" s="4" t="s">
        <v>1216</v>
      </c>
      <c r="B158" s="8"/>
      <c r="C158" s="5"/>
    </row>
    <row r="159" spans="1:3" x14ac:dyDescent="0.25">
      <c r="A159" s="4" t="s">
        <v>230</v>
      </c>
      <c r="B159" s="8">
        <v>5</v>
      </c>
      <c r="C159" s="5" t="s">
        <v>1782</v>
      </c>
    </row>
    <row r="160" spans="1:3" x14ac:dyDescent="0.25">
      <c r="A160" s="4" t="s">
        <v>1379</v>
      </c>
      <c r="B160" s="8"/>
      <c r="C160" s="5"/>
    </row>
    <row r="161" spans="1:3" x14ac:dyDescent="0.25">
      <c r="A161" s="4" t="s">
        <v>1223</v>
      </c>
      <c r="B161" s="8"/>
      <c r="C161" s="5"/>
    </row>
    <row r="162" spans="1:3" x14ac:dyDescent="0.25">
      <c r="A162" s="4" t="s">
        <v>1126</v>
      </c>
      <c r="B162" s="8"/>
      <c r="C162" s="5"/>
    </row>
    <row r="163" spans="1:3" x14ac:dyDescent="0.25">
      <c r="A163" s="4" t="s">
        <v>1390</v>
      </c>
      <c r="B163" s="8"/>
      <c r="C163" s="5"/>
    </row>
    <row r="164" spans="1:3" x14ac:dyDescent="0.25">
      <c r="A164" s="4" t="s">
        <v>259</v>
      </c>
      <c r="B164" s="8"/>
      <c r="C164" s="5"/>
    </row>
    <row r="165" spans="1:3" x14ac:dyDescent="0.25">
      <c r="A165" s="4" t="s">
        <v>254</v>
      </c>
      <c r="B165" s="8">
        <v>6</v>
      </c>
      <c r="C165" s="5"/>
    </row>
    <row r="166" spans="1:3" x14ac:dyDescent="0.25">
      <c r="A166" s="4" t="s">
        <v>1137</v>
      </c>
      <c r="B166" s="8"/>
      <c r="C166" s="5"/>
    </row>
    <row r="167" spans="1:3" x14ac:dyDescent="0.25">
      <c r="A167" s="4" t="s">
        <v>1254</v>
      </c>
      <c r="B167" s="8"/>
      <c r="C167" s="5"/>
    </row>
    <row r="168" spans="1:3" x14ac:dyDescent="0.25">
      <c r="A168" s="4" t="s">
        <v>90</v>
      </c>
      <c r="B168" s="8">
        <v>8</v>
      </c>
      <c r="C168" s="5" t="s">
        <v>1788</v>
      </c>
    </row>
    <row r="169" spans="1:3" x14ac:dyDescent="0.25">
      <c r="A169" s="4" t="s">
        <v>437</v>
      </c>
      <c r="B169" s="8"/>
      <c r="C169" s="5"/>
    </row>
    <row r="170" spans="1:3" x14ac:dyDescent="0.25">
      <c r="A170" s="4" t="s">
        <v>1336</v>
      </c>
      <c r="B170" s="8"/>
      <c r="C170" s="5"/>
    </row>
    <row r="171" spans="1:3" x14ac:dyDescent="0.25">
      <c r="A171" s="4" t="s">
        <v>48</v>
      </c>
      <c r="B171" s="8">
        <v>7</v>
      </c>
      <c r="C171" s="5" t="s">
        <v>1791</v>
      </c>
    </row>
    <row r="172" spans="1:3" ht="45" x14ac:dyDescent="0.25">
      <c r="A172" s="4" t="s">
        <v>247</v>
      </c>
      <c r="B172" s="8">
        <v>8</v>
      </c>
      <c r="C172" s="5" t="s">
        <v>1785</v>
      </c>
    </row>
    <row r="173" spans="1:3" x14ac:dyDescent="0.25">
      <c r="A173" s="4" t="s">
        <v>890</v>
      </c>
      <c r="B173" s="8"/>
      <c r="C173" s="5"/>
    </row>
    <row r="174" spans="1:3" x14ac:dyDescent="0.25">
      <c r="A174" s="4" t="s">
        <v>1316</v>
      </c>
      <c r="B174" s="8"/>
      <c r="C174" s="5"/>
    </row>
    <row r="175" spans="1:3" x14ac:dyDescent="0.25">
      <c r="A175" s="4" t="s">
        <v>699</v>
      </c>
      <c r="B175" s="8"/>
      <c r="C175" s="5"/>
    </row>
    <row r="176" spans="1:3" x14ac:dyDescent="0.25">
      <c r="A176" s="4" t="s">
        <v>265</v>
      </c>
      <c r="B176" s="8">
        <v>8</v>
      </c>
      <c r="C176" s="5" t="s">
        <v>1799</v>
      </c>
    </row>
    <row r="177" spans="1:3" x14ac:dyDescent="0.25">
      <c r="A177" s="4" t="s">
        <v>1049</v>
      </c>
      <c r="B177" s="8"/>
      <c r="C177" s="5"/>
    </row>
    <row r="178" spans="1:3" x14ac:dyDescent="0.25">
      <c r="A178" s="4" t="s">
        <v>897</v>
      </c>
      <c r="B178" s="8"/>
      <c r="C178" s="5"/>
    </row>
    <row r="179" spans="1:3" x14ac:dyDescent="0.25">
      <c r="A179" s="4" t="s">
        <v>1320</v>
      </c>
      <c r="B179" s="8"/>
      <c r="C179" s="5"/>
    </row>
    <row r="180" spans="1:3" x14ac:dyDescent="0.25">
      <c r="A180" s="4" t="s">
        <v>526</v>
      </c>
      <c r="B180" s="8"/>
      <c r="C180" s="5"/>
    </row>
    <row r="181" spans="1:3" x14ac:dyDescent="0.25">
      <c r="A181" s="4" t="s">
        <v>704</v>
      </c>
      <c r="B181" s="8"/>
      <c r="C181" s="5"/>
    </row>
    <row r="182" spans="1:3" x14ac:dyDescent="0.25">
      <c r="A182" s="4" t="s">
        <v>1387</v>
      </c>
      <c r="B182" s="8"/>
      <c r="C182" s="5"/>
    </row>
    <row r="183" spans="1:3" x14ac:dyDescent="0.25">
      <c r="A183" s="4" t="s">
        <v>1130</v>
      </c>
      <c r="B183" s="8"/>
      <c r="C183" s="5"/>
    </row>
    <row r="184" spans="1:3" x14ac:dyDescent="0.25">
      <c r="A184" s="4" t="s">
        <v>710</v>
      </c>
      <c r="B184" s="8"/>
      <c r="C184" s="5"/>
    </row>
    <row r="185" spans="1:3" x14ac:dyDescent="0.25">
      <c r="A185" s="4" t="s">
        <v>717</v>
      </c>
      <c r="B185" s="8"/>
      <c r="C185" s="5"/>
    </row>
    <row r="186" spans="1:3" x14ac:dyDescent="0.25">
      <c r="A186" s="4" t="s">
        <v>724</v>
      </c>
      <c r="B186" s="8"/>
      <c r="C186" s="5"/>
    </row>
    <row r="187" spans="1:3" x14ac:dyDescent="0.25">
      <c r="A187" s="4" t="s">
        <v>1055</v>
      </c>
      <c r="B187" s="8"/>
      <c r="C187" s="5"/>
    </row>
    <row r="188" spans="1:3" x14ac:dyDescent="0.25">
      <c r="A188" s="4" t="s">
        <v>535</v>
      </c>
      <c r="B188" s="8"/>
      <c r="C188" s="5"/>
    </row>
    <row r="189" spans="1:3" x14ac:dyDescent="0.25">
      <c r="A189" s="4" t="s">
        <v>1383</v>
      </c>
      <c r="B189" s="8"/>
      <c r="C189" s="5"/>
    </row>
    <row r="190" spans="1:3" x14ac:dyDescent="0.25">
      <c r="A190" s="4" t="s">
        <v>1329</v>
      </c>
      <c r="B190" s="8"/>
      <c r="C190" s="5"/>
    </row>
    <row r="191" spans="1:3" x14ac:dyDescent="0.25">
      <c r="A191" s="4" t="s">
        <v>901</v>
      </c>
      <c r="B191" s="8"/>
      <c r="C191" s="5"/>
    </row>
    <row r="192" spans="1:3" x14ac:dyDescent="0.25">
      <c r="A192" s="4" t="s">
        <v>1602</v>
      </c>
      <c r="B192" s="8"/>
      <c r="C192" s="5"/>
    </row>
    <row r="193" spans="1:3" x14ac:dyDescent="0.25">
      <c r="A193" s="4" t="s">
        <v>908</v>
      </c>
      <c r="B193" s="8"/>
      <c r="C193" s="5"/>
    </row>
    <row r="194" spans="1:3" x14ac:dyDescent="0.25">
      <c r="A194" s="4" t="s">
        <v>730</v>
      </c>
      <c r="B194" s="8"/>
      <c r="C194" s="5"/>
    </row>
    <row r="195" spans="1:3" x14ac:dyDescent="0.25">
      <c r="A195" s="6" t="s">
        <v>279</v>
      </c>
      <c r="B195" s="8">
        <v>6</v>
      </c>
      <c r="C195" s="5" t="s">
        <v>1798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1CB730-6376-4376-976A-18C02A3EAD56}">
  <ds:schemaRefs>
    <ds:schemaRef ds:uri="http://schemas.microsoft.com/DataMashup"/>
  </ds:schemaRefs>
</ds:datastoreItem>
</file>

<file path=docMetadata/LabelInfo.xml><?xml version="1.0" encoding="utf-8"?>
<clbl:labelList xmlns:clbl="http://schemas.microsoft.com/office/2020/mipLabelMetadata">
  <clbl:label id="{549ac42a-3eb4-4074-b885-aea26bd6241e}" enabled="1" method="Standard" siteId="{9274ee3f-9425-4109-a27f-9fb15c10675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Lineup Import</vt: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 Eykelen, Frank (Nextens-AMS)</cp:lastModifiedBy>
  <dcterms:created xsi:type="dcterms:W3CDTF">2026-06-10T07:05:07Z</dcterms:created>
  <dcterms:modified xsi:type="dcterms:W3CDTF">2026-06-29T21:33:50Z</dcterms:modified>
</cp:coreProperties>
</file>